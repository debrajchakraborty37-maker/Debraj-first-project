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mpaign Report" sheetId="1" state="visible" r:id="rId1"/>
    <sheet xmlns:r="http://schemas.openxmlformats.org/officeDocument/2006/relationships" name="Data_Campaigns" sheetId="2" state="visible" r:id="rId2"/>
    <sheet xmlns:r="http://schemas.openxmlformats.org/officeDocument/2006/relationships" name="Data_AdSets" sheetId="3" state="visible" r:id="rId3"/>
    <sheet xmlns:r="http://schemas.openxmlformats.org/officeDocument/2006/relationships" name="Data_Ads" sheetId="4" state="visible" r:id="rId4"/>
    <sheet xmlns:r="http://schemas.openxmlformats.org/officeDocument/2006/relationships" name="Data_CRM" sheetId="5" state="visible" r:id="rId5"/>
    <sheet xmlns:r="http://schemas.openxmlformats.org/officeDocument/2006/relationships" name="Data_MeetingScheduled" sheetId="6" state="visible" r:id="rId6"/>
    <sheet xmlns:r="http://schemas.openxmlformats.org/officeDocument/2006/relationships" name="Data_UnmappedMeetings" sheetId="7" state="visible" r:id="rId7"/>
    <sheet xmlns:r="http://schemas.openxmlformats.org/officeDocument/2006/relationships" name="Data_MeetingConducted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₹#,##0"/>
    <numFmt numFmtId="165" formatCode="\₹#,##0.00"/>
    <numFmt numFmtId="166" formatCode="0.0%"/>
    <numFmt numFmtId="167" formatCode="0.0000"/>
    <numFmt numFmtId="168" formatCode="yyyy\-mm\-dd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FFFFFF"/>
      <sz val="10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404040"/>
      <sz val="9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color rgb="FF000000"/>
      <sz val="9"/>
    </font>
    <font>
      <name val="Calibri"/>
      <charset val="1"/>
      <family val="0"/>
      <b val="1"/>
      <color rgb="FF000000"/>
      <sz val="9"/>
    </font>
    <font>
      <name val="Calibri"/>
      <charset val="1"/>
      <family val="0"/>
      <i val="1"/>
      <color rgb="FF595959"/>
      <sz val="8"/>
    </font>
    <font>
      <name val="Calibri"/>
      <charset val="1"/>
      <family val="0"/>
      <i val="1"/>
      <color rgb="FF7F7F7F"/>
      <sz val="9"/>
    </font>
    <font>
      <name val="Calibri"/>
      <charset val="1"/>
      <family val="2"/>
      <b val="1"/>
      <sz val="14"/>
    </font>
    <font>
      <name val="Calibri"/>
      <charset val="1"/>
      <family val="2"/>
      <b val="1"/>
      <color rgb="FF000000"/>
      <sz val="9.5"/>
    </font>
  </fonts>
  <fills count="15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BF8F00"/>
        <bgColor rgb="FF808000"/>
      </patternFill>
    </fill>
    <fill>
      <patternFill patternType="solid">
        <fgColor rgb="FF404040"/>
        <bgColor rgb="FF1F3864"/>
      </patternFill>
    </fill>
    <fill>
      <patternFill patternType="solid">
        <fgColor rgb="FFD9E2F3"/>
        <bgColor rgb="FFDBEEF4"/>
      </patternFill>
    </fill>
    <fill>
      <patternFill patternType="solid">
        <fgColor rgb="FF7F7F7F"/>
        <bgColor rgb="FF969696"/>
      </patternFill>
    </fill>
    <fill>
      <patternFill patternType="solid">
        <fgColor rgb="FFF2F2F2"/>
        <bgColor rgb="FFFDEADA"/>
      </patternFill>
    </fill>
    <fill>
      <patternFill patternType="solid">
        <fgColor rgb="FF0E7C7B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CE4B4"/>
        <bgColor rgb="FFFDEADA"/>
      </patternFill>
    </fill>
    <fill>
      <patternFill patternType="solid">
        <fgColor theme="8" tint="0.7999000000000001"/>
        <bgColor rgb="FFD9E2F3"/>
      </patternFill>
    </fill>
    <fill>
      <patternFill patternType="solid">
        <fgColor rgb="FF2E5090"/>
        <bgColor rgb="FF1F3864"/>
      </patternFill>
    </fill>
    <fill>
      <patternFill patternType="solid">
        <fgColor rgb="FF6A3D9A"/>
        <bgColor rgb="FF595959"/>
      </patternFill>
    </fill>
    <fill>
      <patternFill patternType="solid">
        <fgColor theme="9" tint="0.7999000000000001"/>
        <bgColor rgb="FFF2F2F2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3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11" fillId="2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3" fontId="12" fillId="9" borderId="2" applyAlignment="1" pivotButton="0" quotePrefix="0" xfId="0">
      <alignment horizontal="center" vertical="center"/>
    </xf>
    <xf numFmtId="164" fontId="12" fillId="9" borderId="2" applyAlignment="1" pivotButton="0" quotePrefix="0" xfId="0">
      <alignment horizontal="center" vertical="center"/>
    </xf>
    <xf numFmtId="165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12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general" vertical="bottom"/>
    </xf>
    <xf numFmtId="0" fontId="13" fillId="10" borderId="2" applyAlignment="1" pivotButton="0" quotePrefix="0" xfId="0">
      <alignment horizontal="left" vertical="center"/>
    </xf>
    <xf numFmtId="3" fontId="13" fillId="10" borderId="2" applyAlignment="1" pivotButton="0" quotePrefix="0" xfId="0">
      <alignment horizontal="center" vertical="center"/>
    </xf>
    <xf numFmtId="164" fontId="13" fillId="10" borderId="2" applyAlignment="1" pivotButton="0" quotePrefix="0" xfId="0">
      <alignment horizontal="center" vertical="center"/>
    </xf>
    <xf numFmtId="165" fontId="13" fillId="10" borderId="2" applyAlignment="1" pivotButton="0" quotePrefix="0" xfId="0">
      <alignment horizontal="center" vertical="center"/>
    </xf>
    <xf numFmtId="166" fontId="13" fillId="10" borderId="2" applyAlignment="1" pivotButton="0" quotePrefix="0" xfId="0">
      <alignment horizontal="center" vertical="center"/>
    </xf>
    <xf numFmtId="167" fontId="13" fillId="10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general" vertical="bottom"/>
    </xf>
    <xf numFmtId="0" fontId="14" fillId="11" borderId="1" applyAlignment="1" pivotButton="0" quotePrefix="0" xfId="0">
      <alignment horizontal="left" vertical="center"/>
    </xf>
    <xf numFmtId="0" fontId="11" fillId="2" borderId="3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/>
    </xf>
    <xf numFmtId="3" fontId="15" fillId="7" borderId="2" applyAlignment="1" pivotButton="0" quotePrefix="0" xfId="0">
      <alignment horizontal="center" vertical="center"/>
    </xf>
    <xf numFmtId="166" fontId="15" fillId="7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3" fontId="11" fillId="2" borderId="2" applyAlignment="1" pivotButton="0" quotePrefix="0" xfId="0">
      <alignment horizontal="center" vertical="center"/>
    </xf>
    <xf numFmtId="166" fontId="11" fillId="2" borderId="2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general" vertical="bottom"/>
    </xf>
    <xf numFmtId="165" fontId="11" fillId="2" borderId="2" applyAlignment="1" pivotButton="0" quotePrefix="0" xfId="0">
      <alignment horizontal="center" vertical="center"/>
    </xf>
    <xf numFmtId="167" fontId="11" fillId="2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2" fillId="10" borderId="2" applyAlignment="1" pivotButton="0" quotePrefix="0" xfId="0">
      <alignment horizontal="general" vertical="bottom"/>
    </xf>
    <xf numFmtId="0" fontId="14" fillId="11" borderId="5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left" vertical="center"/>
    </xf>
    <xf numFmtId="168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3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6" fillId="8" borderId="0" applyAlignment="1" pivotButton="0" quotePrefix="0" xfId="0">
      <alignment horizontal="left" vertical="center"/>
    </xf>
    <xf numFmtId="0" fontId="11" fillId="2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3" fontId="12" fillId="9" borderId="2" applyAlignment="1" pivotButton="0" quotePrefix="0" xfId="0">
      <alignment horizontal="center" vertical="center"/>
    </xf>
    <xf numFmtId="164" fontId="12" fillId="9" borderId="2" applyAlignment="1" pivotButton="0" quotePrefix="0" xfId="0">
      <alignment horizontal="center" vertical="center"/>
    </xf>
    <xf numFmtId="165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12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general" vertical="bottom"/>
    </xf>
    <xf numFmtId="0" fontId="13" fillId="10" borderId="2" applyAlignment="1" pivotButton="0" quotePrefix="0" xfId="0">
      <alignment horizontal="left" vertical="center"/>
    </xf>
    <xf numFmtId="3" fontId="13" fillId="10" borderId="2" applyAlignment="1" pivotButton="0" quotePrefix="0" xfId="0">
      <alignment horizontal="center" vertical="center"/>
    </xf>
    <xf numFmtId="164" fontId="13" fillId="10" borderId="2" applyAlignment="1" pivotButton="0" quotePrefix="0" xfId="0">
      <alignment horizontal="center" vertical="center"/>
    </xf>
    <xf numFmtId="165" fontId="13" fillId="10" borderId="2" applyAlignment="1" pivotButton="0" quotePrefix="0" xfId="0">
      <alignment horizontal="center" vertical="center"/>
    </xf>
    <xf numFmtId="166" fontId="13" fillId="10" borderId="2" applyAlignment="1" pivotButton="0" quotePrefix="0" xfId="0">
      <alignment horizontal="center" vertical="center"/>
    </xf>
    <xf numFmtId="167" fontId="13" fillId="10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general" vertical="bottom"/>
    </xf>
    <xf numFmtId="0" fontId="14" fillId="11" borderId="1" applyAlignment="1" pivotButton="0" quotePrefix="0" xfId="0">
      <alignment horizontal="left" vertical="center"/>
    </xf>
    <xf numFmtId="0" fontId="11" fillId="2" borderId="3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/>
    </xf>
    <xf numFmtId="3" fontId="15" fillId="7" borderId="2" applyAlignment="1" pivotButton="0" quotePrefix="0" xfId="0">
      <alignment horizontal="center" vertical="center"/>
    </xf>
    <xf numFmtId="166" fontId="15" fillId="7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3" fontId="11" fillId="2" borderId="2" applyAlignment="1" pivotButton="0" quotePrefix="0" xfId="0">
      <alignment horizontal="center" vertical="center"/>
    </xf>
    <xf numFmtId="166" fontId="11" fillId="2" borderId="2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11" fillId="2" borderId="2" applyAlignment="1" pivotButton="0" quotePrefix="0" xfId="0">
      <alignment horizontal="general" vertical="bottom"/>
    </xf>
    <xf numFmtId="165" fontId="11" fillId="2" borderId="2" applyAlignment="1" pivotButton="0" quotePrefix="0" xfId="0">
      <alignment horizontal="center" vertical="center"/>
    </xf>
    <xf numFmtId="167" fontId="11" fillId="2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0" fontId="0" fillId="0" borderId="4" pivotButton="0" quotePrefix="0" xfId="0"/>
    <xf numFmtId="0" fontId="6" fillId="13" borderId="0" applyAlignment="1" pivotButton="0" quotePrefix="0" xfId="0">
      <alignment horizontal="left" vertical="center"/>
    </xf>
    <xf numFmtId="0" fontId="12" fillId="10" borderId="2" applyAlignment="1" pivotButton="0" quotePrefix="0" xfId="0">
      <alignment horizontal="general" vertical="bottom"/>
    </xf>
    <xf numFmtId="0" fontId="14" fillId="11" borderId="5" applyAlignment="1" pivotButton="0" quotePrefix="0" xfId="0">
      <alignment horizontal="left" vertical="center"/>
    </xf>
    <xf numFmtId="0" fontId="0" fillId="0" borderId="5" pivotButton="0" quotePrefix="0" xfId="0"/>
    <xf numFmtId="0" fontId="6" fillId="2" borderId="0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7F7F7F"/>
      <rgbColor rgb="FF9999FF"/>
      <rgbColor rgb="FF6A3D9A"/>
      <rgbColor rgb="FFFDEADA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2F3"/>
      <rgbColor rgb="FFFFFF99"/>
      <rgbColor rgb="FF99CCFF"/>
      <rgbColor rgb="FFFF99CC"/>
      <rgbColor rgb="FFCC99FF"/>
      <rgbColor rgb="FFFCE4B4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5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6" activeCellId="0" sqref="A16"/>
    </sheetView>
  </sheetViews>
  <sheetFormatPr baseColWidth="8" defaultColWidth="8.6328125" defaultRowHeight="14.25" zeroHeight="0" outlineLevelRow="0"/>
  <cols>
    <col width="34" customWidth="1" style="53" min="1" max="1"/>
    <col width="30" customWidth="1" style="53" min="2" max="3"/>
    <col width="12" customWidth="1" style="53" min="4" max="4"/>
    <col width="11" customWidth="1" style="53" min="5" max="5"/>
    <col width="20" customWidth="1" style="53" min="6" max="6"/>
    <col width="13" customWidth="1" style="53" min="7" max="7"/>
    <col width="15" customWidth="1" style="53" min="8" max="8"/>
    <col width="14" customWidth="1" style="53" min="9" max="9"/>
    <col width="13" customWidth="1" style="53" min="10" max="10"/>
    <col width="12" customWidth="1" style="53" min="11" max="11"/>
    <col width="11" customWidth="1" style="53" min="12" max="12"/>
    <col width="12" customWidth="1" style="53" min="13" max="13"/>
    <col width="16" customWidth="1" style="53" min="14" max="14"/>
    <col width="14" customWidth="1" style="53" min="15" max="15"/>
    <col width="13" customWidth="1" style="53" min="16" max="20"/>
    <col width="14" customWidth="1" style="53" min="21" max="21"/>
    <col width="12" customWidth="1" style="53" min="22" max="26"/>
  </cols>
  <sheetData>
    <row r="1" ht="27.75" customHeight="1" s="54">
      <c r="A1" s="55" t="inlineStr">
        <is>
          <t>DAEWOO  ×  SHOOTORDER — CAMPAIGN, AD SET &amp; AD-WISE PERFORMANCE REPORT</t>
        </is>
      </c>
    </row>
    <row r="2" ht="15.75" customHeight="1" s="54">
      <c r="A2" s="56" t="inlineStr">
        <is>
          <t>MTD: 01 Oct 2026 – 28 Oct 2026   |   FTD: 28 Oct 2026   |   Currency: INR   |   Attribution: LeadChain (Meta raw Lead Ads export) — ground-truth Ad / Ad Set / Campaign join</t>
        </is>
      </c>
    </row>
    <row r="4" ht="19.5" customHeight="1" s="54">
      <c r="A4" s="57" t="inlineStr">
        <is>
          <t>OCTOBER 2026 — PERFORMANCE SNAPSHOT   (MTD 1–28 Oct  ·  FTD 28 Oct)</t>
        </is>
      </c>
    </row>
    <row r="5" ht="15" customHeight="1" s="54">
      <c r="A5" s="58" t="inlineStr">
        <is>
          <t>MTD SPEND</t>
        </is>
      </c>
      <c r="E5" s="58" t="inlineStr">
        <is>
          <t>MTD LEADS / RESULTS (META)</t>
        </is>
      </c>
      <c r="I5" s="58" t="inlineStr">
        <is>
          <t>BLENDED CPL (per CRM Lead)</t>
        </is>
      </c>
      <c r="M5" s="58" t="inlineStr">
        <is>
          <t>MTD IMPRESSIONS</t>
        </is>
      </c>
      <c r="Q5" s="58" t="inlineStr">
        <is>
          <t>MTD REACH</t>
        </is>
      </c>
      <c r="T5" s="58" t="inlineStr">
        <is>
          <t>MTD CTR</t>
        </is>
      </c>
      <c r="W5" s="58" t="inlineStr">
        <is>
          <t>MTD CPQL</t>
        </is>
      </c>
    </row>
    <row r="6" ht="27.75" customHeight="1" s="54">
      <c r="A6" s="59">
        <f>"₹"&amp;TEXT($J$30,"#,##0")</f>
        <v/>
      </c>
      <c r="E6" s="60">
        <f>$E$30</f>
        <v/>
      </c>
      <c r="I6" s="59">
        <f>IFERROR("₹"&amp;TEXT($J$30/Data_CRM!$J$6,"#,##0"),"n/a")</f>
        <v/>
      </c>
      <c r="M6" s="59">
        <f>TEXT($K$30,"#,##0")</f>
        <v/>
      </c>
      <c r="Q6" s="59">
        <f>TEXT($L$30,"#,##0")</f>
        <v/>
      </c>
      <c r="T6" s="59">
        <f>IFERROR(TEXT($T$30/$K$30,"0.00%"),"n/a")</f>
        <v/>
      </c>
      <c r="W6" s="59">
        <f>IFERROR("₹"&amp;TEXT($J$30/$P$30,"#,##0"),"n/a")</f>
        <v/>
      </c>
    </row>
    <row r="8" ht="15" customHeight="1" s="54">
      <c r="A8" s="58" t="inlineStr">
        <is>
          <t>TOTAL CRM LEADS (MTD)</t>
        </is>
      </c>
      <c r="E8" s="58" t="inlineStr">
        <is>
          <t>QUALIFIED LEADS (CRM, MTD)</t>
        </is>
      </c>
      <c r="I8" s="58" t="inlineStr">
        <is>
          <t>MEETINGS SCHEDULED (total)</t>
        </is>
      </c>
      <c r="M8" s="58" t="inlineStr">
        <is>
          <t>FTD (28 OCT) — CRM LEADS</t>
        </is>
      </c>
      <c r="T8" s="58" t="inlineStr">
        <is>
          <t>UNIQUE LEADS (MeetingLeads file)</t>
        </is>
      </c>
    </row>
    <row r="9" ht="27.75" customHeight="1" s="54">
      <c r="A9" s="59">
        <f>Data_CRM!$J$6</f>
        <v/>
      </c>
      <c r="E9" s="59">
        <f>SUM(Data_CRM!$F$2:$F$1694)</f>
        <v/>
      </c>
      <c r="I9" s="59">
        <f>Data_MeetingScheduled!$J$2</f>
        <v/>
      </c>
      <c r="M9" s="59">
        <f>COUNTIFS(Data_CRM!$A$2:$A$1694,"&gt;="&amp;Data_CRM!$J$4,Data_CRM!$A$2:$A$1694,"&lt;="&amp;Data_CRM!$J$5)</f>
        <v/>
      </c>
      <c r="T9" s="59" t="n">
        <v>51</v>
      </c>
    </row>
    <row r="11" ht="19.5" customHeight="1" s="54">
      <c r="A11" s="61" t="inlineStr">
        <is>
          <t>ℹ  DATA NOTES</t>
        </is>
      </c>
    </row>
    <row r="12" ht="47.25" customHeight="1" s="54">
      <c r="A12" s="62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4" t="n"/>
    </row>
    <row r="13" ht="61.5" customHeight="1" s="54">
      <c r="A13" s="62" t="n"/>
      <c r="B13" s="63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4" t="n"/>
    </row>
    <row r="14" ht="134.25" customHeight="1" s="54">
      <c r="A14" s="62" t="n"/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4" t="n"/>
    </row>
    <row r="15" ht="33" customHeight="1" s="54">
      <c r="A15" s="62" t="n"/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  <c r="Z15" s="64" t="n"/>
    </row>
    <row r="16" ht="47.25" customHeight="1" s="54">
      <c r="A16" s="62" t="n"/>
      <c r="B16" s="63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63" t="n"/>
      <c r="L16" s="63" t="n"/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  <c r="Z16" s="64" t="n"/>
    </row>
    <row r="17" ht="61.5" customHeight="1" s="54">
      <c r="A17" s="62" t="n"/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4" t="n"/>
    </row>
    <row r="19" ht="19.5" customHeight="1" s="54">
      <c r="A19" s="65" t="inlineStr">
        <is>
          <t>1.  CAMPAIGN-WISE PERFORMANCE  —  MTD (1 Oct – 28 Oct 2026)</t>
        </is>
      </c>
    </row>
    <row r="20" ht="30" customHeight="1" s="54">
      <c r="A20" s="66" t="inlineStr">
        <is>
          <t>Reporting starts</t>
        </is>
      </c>
      <c r="B20" s="66" t="inlineStr">
        <is>
          <t>Reporting ends</t>
        </is>
      </c>
      <c r="C20" s="66" t="inlineStr">
        <is>
          <t>Campaign name</t>
        </is>
      </c>
      <c r="D20" s="66" t="inlineStr">
        <is>
          <t>Campaign delivery</t>
        </is>
      </c>
      <c r="E20" s="66" t="inlineStr">
        <is>
          <t>Results</t>
        </is>
      </c>
      <c r="F20" s="66" t="inlineStr">
        <is>
          <t>Result indicator</t>
        </is>
      </c>
      <c r="G20" s="66" t="inlineStr">
        <is>
          <t>Cost per result</t>
        </is>
      </c>
      <c r="H20" s="66" t="inlineStr">
        <is>
          <t>Ad set budget</t>
        </is>
      </c>
      <c r="I20" s="66" t="inlineStr">
        <is>
          <t>Ad set budget type</t>
        </is>
      </c>
      <c r="J20" s="66" t="inlineStr">
        <is>
          <t>Amount spent (INR)</t>
        </is>
      </c>
      <c r="K20" s="66" t="inlineStr">
        <is>
          <t>Impressions</t>
        </is>
      </c>
      <c r="L20" s="66" t="inlineStr">
        <is>
          <t>Reach</t>
        </is>
      </c>
      <c r="M20" s="66" t="inlineStr">
        <is>
          <t>Ends</t>
        </is>
      </c>
      <c r="N20" s="66" t="inlineStr">
        <is>
          <t>Attribution setting</t>
        </is>
      </c>
      <c r="O20" s="66" t="inlineStr">
        <is>
          <t>CRM Leads (LeadChain)</t>
        </is>
      </c>
      <c r="P20" s="66" t="inlineStr">
        <is>
          <t>Qualified Leads</t>
        </is>
      </c>
      <c r="Q20" s="66" t="inlineStr">
        <is>
          <t>Qualified Lead %</t>
        </is>
      </c>
      <c r="R20" s="66" t="inlineStr">
        <is>
          <t>Meetings Scheduled</t>
        </is>
      </c>
      <c r="S20" s="66" t="inlineStr">
        <is>
          <t>Meeting Scheduled %</t>
        </is>
      </c>
      <c r="T20" s="66" t="inlineStr">
        <is>
          <t>Link Clicks</t>
        </is>
      </c>
      <c r="U20" s="66" t="inlineStr">
        <is>
          <t>CTR</t>
        </is>
      </c>
      <c r="V20" s="66" t="inlineStr">
        <is>
          <t>CTR %</t>
        </is>
      </c>
      <c r="W20" s="66" t="inlineStr">
        <is>
          <t>CPQL</t>
        </is>
      </c>
      <c r="X20" s="66" t="inlineStr">
        <is>
          <t>CPQL %</t>
        </is>
      </c>
    </row>
    <row r="21" ht="14.25" customHeight="1" s="54">
      <c r="A21" s="67">
        <f>INDEX(Data_Campaigns!$A$2:$A$15,MATCH($C21,Data_Campaigns!$C$2:$C$15,0))</f>
        <v/>
      </c>
      <c r="B21" s="67">
        <f>INDEX(Data_Campaigns!$B$2:$B$15,MATCH($C21,Data_Campaigns!$C$2:$C$15,0))</f>
        <v/>
      </c>
      <c r="C21" s="68" t="inlineStr">
        <is>
          <t>Andromeda_CBO_Signature Store_FICO_Daewoo_SO</t>
        </is>
      </c>
      <c r="D21" s="67">
        <f>INDEX(Data_Campaigns!$D$2:$D$15,MATCH($C21,Data_Campaigns!$C$2:$C$15,0))</f>
        <v/>
      </c>
      <c r="E21" s="69">
        <f>IF(INDEX(Data_Campaigns!$E$2:$E$15,MATCH($C21,Data_Campaigns!$C$2:$C$15,0))=0,"",INDEX(Data_Campaigns!$E$2:$E$15,MATCH($C21,Data_Campaigns!$C$2:$C$15,0)))</f>
        <v/>
      </c>
      <c r="F21" s="67">
        <f>INDEX(Data_Campaigns!$F$2:$F$15,MATCH($C21,Data_Campaigns!$C$2:$C$15,0))</f>
        <v/>
      </c>
      <c r="G21" s="70">
        <f>IFERROR(IF($E21="","n/a",$J21/$E21),"n/a")</f>
        <v/>
      </c>
      <c r="H21" s="67">
        <f>INDEX(Data_Campaigns!$H$2:$H$15,MATCH($C21,Data_Campaigns!$C$2:$C$15,0))</f>
        <v/>
      </c>
      <c r="I21" s="67">
        <f>INDEX(Data_Campaigns!$I$2:$I$15,MATCH($C21,Data_Campaigns!$C$2:$C$15,0))</f>
        <v/>
      </c>
      <c r="J21" s="71">
        <f>INDEX(Data_Campaigns!$J$2:$J$15,MATCH($C21,Data_Campaigns!$C$2:$C$15,0))</f>
        <v/>
      </c>
      <c r="K21" s="69">
        <f>INDEX(Data_Campaigns!$K$2:$K$15,MATCH($C21,Data_Campaigns!$C$2:$C$15,0))</f>
        <v/>
      </c>
      <c r="L21" s="69">
        <f>INDEX(Data_Campaigns!$L$2:$L$15,MATCH($C21,Data_Campaigns!$C$2:$C$15,0))</f>
        <v/>
      </c>
      <c r="M21" s="67">
        <f>INDEX(Data_Campaigns!$M$2:$M$15,MATCH($C21,Data_Campaigns!$C$2:$C$15,0))</f>
        <v/>
      </c>
      <c r="N21" s="67">
        <f>INDEX(Data_Campaigns!$N$2:$N$15,MATCH($C21,Data_Campaigns!$C$2:$C$15,0))</f>
        <v/>
      </c>
      <c r="O21" s="69">
        <f>COUNTIFS(Data_CRM!$B$2:$B$1694,$C21,Data_CRM!$A$2:$A$1694,"&gt;="&amp;Data_CRM!$J$2,Data_CRM!$A$2:$A$1694,"&lt;="&amp;Data_CRM!$J$3)</f>
        <v/>
      </c>
      <c r="P21" s="69">
        <f>SUMIFS(Data_CRM!$F$2:$F$1694,Data_CRM!$B$2:$B$1694,$C21,Data_CRM!$A$2:$A$1694,"&gt;="&amp;Data_CRM!$J$2,Data_CRM!$A$2:$A$1694,"&lt;="&amp;Data_CRM!$J$3)</f>
        <v/>
      </c>
      <c r="Q21" s="72">
        <f>IFERROR(IF($O21=0,"n/a",$P21/$O21),"n/a")</f>
        <v/>
      </c>
      <c r="R21" s="69">
        <f>COUNTIF(Data_MeetingScheduled!$C$2:$C$200,$C21)</f>
        <v/>
      </c>
      <c r="S21" s="72">
        <f>IFERROR(IF($O21=0,"n/a",$R21/$O21),"n/a")</f>
        <v/>
      </c>
      <c r="T21" s="69">
        <f>INDEX(Data_Campaigns!$O$2:$O$15,MATCH($C21,Data_Campaigns!$C$2:$C$15,0))</f>
        <v/>
      </c>
      <c r="U21" s="73">
        <f>IFERROR($T21/$K21,"n/a")</f>
        <v/>
      </c>
      <c r="V21" s="72">
        <f>IFERROR($T21/$K21,"n/a")</f>
        <v/>
      </c>
      <c r="W21" s="70">
        <f>IFERROR($J21/$P21,"n/a")</f>
        <v/>
      </c>
      <c r="X21" s="72">
        <f>IFERROR($P21/$O21,"n/a")</f>
        <v/>
      </c>
    </row>
    <row r="22" ht="14.25" customHeight="1" s="54">
      <c r="A22" s="67">
        <f>INDEX(Data_Campaigns!$A$2:$A$15,MATCH($C22,Data_Campaigns!$C$2:$C$15,0))</f>
        <v/>
      </c>
      <c r="B22" s="67">
        <f>INDEX(Data_Campaigns!$B$2:$B$15,MATCH($C22,Data_Campaigns!$C$2:$C$15,0))</f>
        <v/>
      </c>
      <c r="C22" s="68" t="inlineStr">
        <is>
          <t>META_CustomData_MOFU_STOCKIST_Leadgen</t>
        </is>
      </c>
      <c r="D22" s="67">
        <f>INDEX(Data_Campaigns!$D$2:$D$15,MATCH($C22,Data_Campaigns!$C$2:$C$15,0))</f>
        <v/>
      </c>
      <c r="E22" s="69">
        <f>IF(INDEX(Data_Campaigns!$E$2:$E$15,MATCH($C22,Data_Campaigns!$C$2:$C$15,0))=0,"",INDEX(Data_Campaigns!$E$2:$E$15,MATCH($C22,Data_Campaigns!$C$2:$C$15,0)))</f>
        <v/>
      </c>
      <c r="F22" s="67">
        <f>INDEX(Data_Campaigns!$F$2:$F$15,MATCH($C22,Data_Campaigns!$C$2:$C$15,0))</f>
        <v/>
      </c>
      <c r="G22" s="70">
        <f>IFERROR(IF($E22="","n/a",$J22/$E22),"n/a")</f>
        <v/>
      </c>
      <c r="H22" s="67">
        <f>INDEX(Data_Campaigns!$H$2:$H$15,MATCH($C22,Data_Campaigns!$C$2:$C$15,0))</f>
        <v/>
      </c>
      <c r="I22" s="67">
        <f>INDEX(Data_Campaigns!$I$2:$I$15,MATCH($C22,Data_Campaigns!$C$2:$C$15,0))</f>
        <v/>
      </c>
      <c r="J22" s="71">
        <f>INDEX(Data_Campaigns!$J$2:$J$15,MATCH($C22,Data_Campaigns!$C$2:$C$15,0))</f>
        <v/>
      </c>
      <c r="K22" s="69">
        <f>INDEX(Data_Campaigns!$K$2:$K$15,MATCH($C22,Data_Campaigns!$C$2:$C$15,0))</f>
        <v/>
      </c>
      <c r="L22" s="69">
        <f>INDEX(Data_Campaigns!$L$2:$L$15,MATCH($C22,Data_Campaigns!$C$2:$C$15,0))</f>
        <v/>
      </c>
      <c r="M22" s="67">
        <f>INDEX(Data_Campaigns!$M$2:$M$15,MATCH($C22,Data_Campaigns!$C$2:$C$15,0))</f>
        <v/>
      </c>
      <c r="N22" s="67">
        <f>INDEX(Data_Campaigns!$N$2:$N$15,MATCH($C22,Data_Campaigns!$C$2:$C$15,0))</f>
        <v/>
      </c>
      <c r="O22" s="69">
        <f>COUNTIFS(Data_CRM!$B$2:$B$1694,$C22,Data_CRM!$A$2:$A$1694,"&gt;="&amp;Data_CRM!$J$2,Data_CRM!$A$2:$A$1694,"&lt;="&amp;Data_CRM!$J$3)</f>
        <v/>
      </c>
      <c r="P22" s="69">
        <f>SUMIFS(Data_CRM!$F$2:$F$1694,Data_CRM!$B$2:$B$1694,$C22,Data_CRM!$A$2:$A$1694,"&gt;="&amp;Data_CRM!$J$2,Data_CRM!$A$2:$A$1694,"&lt;="&amp;Data_CRM!$J$3)</f>
        <v/>
      </c>
      <c r="Q22" s="72">
        <f>IFERROR(IF($O22=0,"n/a",$P22/$O22),"n/a")</f>
        <v/>
      </c>
      <c r="R22" s="69">
        <f>COUNTIF(Data_MeetingScheduled!$C$2:$C$200,$C22)</f>
        <v/>
      </c>
      <c r="S22" s="72">
        <f>IFERROR(IF($O22=0,"n/a",$R22/$O22),"n/a")</f>
        <v/>
      </c>
      <c r="T22" s="69">
        <f>INDEX(Data_Campaigns!$O$2:$O$15,MATCH($C22,Data_Campaigns!$C$2:$C$15,0))</f>
        <v/>
      </c>
      <c r="U22" s="73">
        <f>IFERROR($T22/$K22,"n/a")</f>
        <v/>
      </c>
      <c r="V22" s="72">
        <f>IFERROR($T22/$K22,"n/a")</f>
        <v/>
      </c>
      <c r="W22" s="70">
        <f>IFERROR($J22/$P22,"n/a")</f>
        <v/>
      </c>
      <c r="X22" s="72">
        <f>IFERROR($P22/$O22,"n/a")</f>
        <v/>
      </c>
    </row>
    <row r="23" ht="14.25" customHeight="1" s="54">
      <c r="A23" s="67">
        <f>INDEX(Data_Campaigns!$A$2:$A$15,MATCH($C23,Data_Campaigns!$C$2:$C$15,0))</f>
        <v/>
      </c>
      <c r="B23" s="67">
        <f>INDEX(Data_Campaigns!$B$2:$B$15,MATCH($C23,Data_Campaigns!$C$2:$C$15,0))</f>
        <v/>
      </c>
      <c r="C23" s="68" t="inlineStr">
        <is>
          <t>Andromeda_ABO_Stockist_Daewoo_SO</t>
        </is>
      </c>
      <c r="D23" s="67">
        <f>INDEX(Data_Campaigns!$D$2:$D$15,MATCH($C23,Data_Campaigns!$C$2:$C$15,0))</f>
        <v/>
      </c>
      <c r="E23" s="69">
        <f>IF(INDEX(Data_Campaigns!$E$2:$E$15,MATCH($C23,Data_Campaigns!$C$2:$C$15,0))=0,"",INDEX(Data_Campaigns!$E$2:$E$15,MATCH($C23,Data_Campaigns!$C$2:$C$15,0)))</f>
        <v/>
      </c>
      <c r="F23" s="67">
        <f>INDEX(Data_Campaigns!$F$2:$F$15,MATCH($C23,Data_Campaigns!$C$2:$C$15,0))</f>
        <v/>
      </c>
      <c r="G23" s="70">
        <f>IFERROR(IF($E23="","n/a",$J23/$E23),"n/a")</f>
        <v/>
      </c>
      <c r="H23" s="67">
        <f>INDEX(Data_Campaigns!$H$2:$H$15,MATCH($C23,Data_Campaigns!$C$2:$C$15,0))</f>
        <v/>
      </c>
      <c r="I23" s="67">
        <f>INDEX(Data_Campaigns!$I$2:$I$15,MATCH($C23,Data_Campaigns!$C$2:$C$15,0))</f>
        <v/>
      </c>
      <c r="J23" s="71">
        <f>INDEX(Data_Campaigns!$J$2:$J$15,MATCH($C23,Data_Campaigns!$C$2:$C$15,0))</f>
        <v/>
      </c>
      <c r="K23" s="69">
        <f>INDEX(Data_Campaigns!$K$2:$K$15,MATCH($C23,Data_Campaigns!$C$2:$C$15,0))</f>
        <v/>
      </c>
      <c r="L23" s="69">
        <f>INDEX(Data_Campaigns!$L$2:$L$15,MATCH($C23,Data_Campaigns!$C$2:$C$15,0))</f>
        <v/>
      </c>
      <c r="M23" s="67">
        <f>INDEX(Data_Campaigns!$M$2:$M$15,MATCH($C23,Data_Campaigns!$C$2:$C$15,0))</f>
        <v/>
      </c>
      <c r="N23" s="67">
        <f>INDEX(Data_Campaigns!$N$2:$N$15,MATCH($C23,Data_Campaigns!$C$2:$C$15,0))</f>
        <v/>
      </c>
      <c r="O23" s="69">
        <f>COUNTIFS(Data_CRM!$B$2:$B$1694,$C23,Data_CRM!$A$2:$A$1694,"&gt;="&amp;Data_CRM!$J$2,Data_CRM!$A$2:$A$1694,"&lt;="&amp;Data_CRM!$J$3)</f>
        <v/>
      </c>
      <c r="P23" s="69">
        <f>SUMIFS(Data_CRM!$F$2:$F$1694,Data_CRM!$B$2:$B$1694,$C23,Data_CRM!$A$2:$A$1694,"&gt;="&amp;Data_CRM!$J$2,Data_CRM!$A$2:$A$1694,"&lt;="&amp;Data_CRM!$J$3)</f>
        <v/>
      </c>
      <c r="Q23" s="72">
        <f>IFERROR(IF($O23=0,"n/a",$P23/$O23),"n/a")</f>
        <v/>
      </c>
      <c r="R23" s="69">
        <f>COUNTIF(Data_MeetingScheduled!$C$2:$C$200,$C23)</f>
        <v/>
      </c>
      <c r="S23" s="72">
        <f>IFERROR(IF($O23=0,"n/a",$R23/$O23),"n/a")</f>
        <v/>
      </c>
      <c r="T23" s="69">
        <f>INDEX(Data_Campaigns!$O$2:$O$15,MATCH($C23,Data_Campaigns!$C$2:$C$15,0))</f>
        <v/>
      </c>
      <c r="U23" s="73">
        <f>IFERROR($T23/$K23,"n/a")</f>
        <v/>
      </c>
      <c r="V23" s="72">
        <f>IFERROR($T23/$K23,"n/a")</f>
        <v/>
      </c>
      <c r="W23" s="70">
        <f>IFERROR($J23/$P23,"n/a")</f>
        <v/>
      </c>
      <c r="X23" s="72">
        <f>IFERROR($P23/$O23,"n/a")</f>
        <v/>
      </c>
    </row>
    <row r="24" ht="14.25" customHeight="1" s="54">
      <c r="A24" s="67">
        <f>INDEX(Data_Campaigns!$A$2:$A$15,MATCH($C24,Data_Campaigns!$C$2:$C$15,0))</f>
        <v/>
      </c>
      <c r="B24" s="67">
        <f>INDEX(Data_Campaigns!$B$2:$B$15,MATCH($C24,Data_Campaigns!$C$2:$C$15,0))</f>
        <v/>
      </c>
      <c r="C24" s="68" t="inlineStr">
        <is>
          <t>Andromeda_CBO__DDP_Daewoo_SO</t>
        </is>
      </c>
      <c r="D24" s="67">
        <f>INDEX(Data_Campaigns!$D$2:$D$15,MATCH($C24,Data_Campaigns!$C$2:$C$15,0))</f>
        <v/>
      </c>
      <c r="E24" s="69">
        <f>IF(INDEX(Data_Campaigns!$E$2:$E$15,MATCH($C24,Data_Campaigns!$C$2:$C$15,0))=0,"",INDEX(Data_Campaigns!$E$2:$E$15,MATCH($C24,Data_Campaigns!$C$2:$C$15,0)))</f>
        <v/>
      </c>
      <c r="F24" s="67">
        <f>INDEX(Data_Campaigns!$F$2:$F$15,MATCH($C24,Data_Campaigns!$C$2:$C$15,0))</f>
        <v/>
      </c>
      <c r="G24" s="70">
        <f>IFERROR(IF($E24="","n/a",$J24/$E24),"n/a")</f>
        <v/>
      </c>
      <c r="H24" s="67">
        <f>INDEX(Data_Campaigns!$H$2:$H$15,MATCH($C24,Data_Campaigns!$C$2:$C$15,0))</f>
        <v/>
      </c>
      <c r="I24" s="67">
        <f>INDEX(Data_Campaigns!$I$2:$I$15,MATCH($C24,Data_Campaigns!$C$2:$C$15,0))</f>
        <v/>
      </c>
      <c r="J24" s="71">
        <f>INDEX(Data_Campaigns!$J$2:$J$15,MATCH($C24,Data_Campaigns!$C$2:$C$15,0))</f>
        <v/>
      </c>
      <c r="K24" s="69">
        <f>INDEX(Data_Campaigns!$K$2:$K$15,MATCH($C24,Data_Campaigns!$C$2:$C$15,0))</f>
        <v/>
      </c>
      <c r="L24" s="69">
        <f>INDEX(Data_Campaigns!$L$2:$L$15,MATCH($C24,Data_Campaigns!$C$2:$C$15,0))</f>
        <v/>
      </c>
      <c r="M24" s="67">
        <f>INDEX(Data_Campaigns!$M$2:$M$15,MATCH($C24,Data_Campaigns!$C$2:$C$15,0))</f>
        <v/>
      </c>
      <c r="N24" s="67">
        <f>INDEX(Data_Campaigns!$N$2:$N$15,MATCH($C24,Data_Campaigns!$C$2:$C$15,0))</f>
        <v/>
      </c>
      <c r="O24" s="69">
        <f>COUNTIFS(Data_CRM!$B$2:$B$1694,$C24,Data_CRM!$A$2:$A$1694,"&gt;="&amp;Data_CRM!$J$2,Data_CRM!$A$2:$A$1694,"&lt;="&amp;Data_CRM!$J$3)</f>
        <v/>
      </c>
      <c r="P24" s="69">
        <f>SUMIFS(Data_CRM!$F$2:$F$1694,Data_CRM!$B$2:$B$1694,$C24,Data_CRM!$A$2:$A$1694,"&gt;="&amp;Data_CRM!$J$2,Data_CRM!$A$2:$A$1694,"&lt;="&amp;Data_CRM!$J$3)</f>
        <v/>
      </c>
      <c r="Q24" s="72">
        <f>IFERROR(IF($O24=0,"n/a",$P24/$O24),"n/a")</f>
        <v/>
      </c>
      <c r="R24" s="69">
        <f>COUNTIF(Data_MeetingScheduled!$C$2:$C$200,$C24)</f>
        <v/>
      </c>
      <c r="S24" s="72">
        <f>IFERROR(IF($O24=0,"n/a",$R24/$O24),"n/a")</f>
        <v/>
      </c>
      <c r="T24" s="69">
        <f>INDEX(Data_Campaigns!$O$2:$O$15,MATCH($C24,Data_Campaigns!$C$2:$C$15,0))</f>
        <v/>
      </c>
      <c r="U24" s="73">
        <f>IFERROR($T24/$K24,"n/a")</f>
        <v/>
      </c>
      <c r="V24" s="72">
        <f>IFERROR($T24/$K24,"n/a")</f>
        <v/>
      </c>
      <c r="W24" s="70">
        <f>IFERROR($J24/$P24,"n/a")</f>
        <v/>
      </c>
      <c r="X24" s="72">
        <f>IFERROR($P24/$O24,"n/a")</f>
        <v/>
      </c>
    </row>
    <row r="25" ht="14.25" customHeight="1" s="54">
      <c r="A25" s="67">
        <f>INDEX(Data_Campaigns!$A$2:$A$15,MATCH($C25,Data_Campaigns!$C$2:$C$15,0))</f>
        <v/>
      </c>
      <c r="B25" s="67">
        <f>INDEX(Data_Campaigns!$B$2:$B$15,MATCH($C25,Data_Campaigns!$C$2:$C$15,0))</f>
        <v/>
      </c>
      <c r="C25" s="68" t="inlineStr">
        <is>
          <t>META_CustomData_MOFU_Leadgen – DDP</t>
        </is>
      </c>
      <c r="D25" s="67">
        <f>INDEX(Data_Campaigns!$D$2:$D$15,MATCH($C25,Data_Campaigns!$C$2:$C$15,0))</f>
        <v/>
      </c>
      <c r="E25" s="69">
        <f>IF(INDEX(Data_Campaigns!$E$2:$E$15,MATCH($C25,Data_Campaigns!$C$2:$C$15,0))=0,"",INDEX(Data_Campaigns!$E$2:$E$15,MATCH($C25,Data_Campaigns!$C$2:$C$15,0)))</f>
        <v/>
      </c>
      <c r="F25" s="67">
        <f>INDEX(Data_Campaigns!$F$2:$F$15,MATCH($C25,Data_Campaigns!$C$2:$C$15,0))</f>
        <v/>
      </c>
      <c r="G25" s="70">
        <f>IFERROR(IF($E25="","n/a",$J25/$E25),"n/a")</f>
        <v/>
      </c>
      <c r="H25" s="67">
        <f>INDEX(Data_Campaigns!$H$2:$H$15,MATCH($C25,Data_Campaigns!$C$2:$C$15,0))</f>
        <v/>
      </c>
      <c r="I25" s="67">
        <f>INDEX(Data_Campaigns!$I$2:$I$15,MATCH($C25,Data_Campaigns!$C$2:$C$15,0))</f>
        <v/>
      </c>
      <c r="J25" s="71">
        <f>INDEX(Data_Campaigns!$J$2:$J$15,MATCH($C25,Data_Campaigns!$C$2:$C$15,0))</f>
        <v/>
      </c>
      <c r="K25" s="69">
        <f>INDEX(Data_Campaigns!$K$2:$K$15,MATCH($C25,Data_Campaigns!$C$2:$C$15,0))</f>
        <v/>
      </c>
      <c r="L25" s="69">
        <f>INDEX(Data_Campaigns!$L$2:$L$15,MATCH($C25,Data_Campaigns!$C$2:$C$15,0))</f>
        <v/>
      </c>
      <c r="M25" s="67">
        <f>INDEX(Data_Campaigns!$M$2:$M$15,MATCH($C25,Data_Campaigns!$C$2:$C$15,0))</f>
        <v/>
      </c>
      <c r="N25" s="67">
        <f>INDEX(Data_Campaigns!$N$2:$N$15,MATCH($C25,Data_Campaigns!$C$2:$C$15,0))</f>
        <v/>
      </c>
      <c r="O25" s="69">
        <f>COUNTIFS(Data_CRM!$B$2:$B$1694,$C25,Data_CRM!$A$2:$A$1694,"&gt;="&amp;Data_CRM!$J$2,Data_CRM!$A$2:$A$1694,"&lt;="&amp;Data_CRM!$J$3)</f>
        <v/>
      </c>
      <c r="P25" s="69">
        <f>SUMIFS(Data_CRM!$F$2:$F$1694,Data_CRM!$B$2:$B$1694,$C25,Data_CRM!$A$2:$A$1694,"&gt;="&amp;Data_CRM!$J$2,Data_CRM!$A$2:$A$1694,"&lt;="&amp;Data_CRM!$J$3)</f>
        <v/>
      </c>
      <c r="Q25" s="72">
        <f>IFERROR(IF($O25=0,"n/a",$P25/$O25),"n/a")</f>
        <v/>
      </c>
      <c r="R25" s="69">
        <f>COUNTIF(Data_MeetingScheduled!$C$2:$C$200,$C25)</f>
        <v/>
      </c>
      <c r="S25" s="72">
        <f>IFERROR(IF($O25=0,"n/a",$R25/$O25),"n/a")</f>
        <v/>
      </c>
      <c r="T25" s="69">
        <f>INDEX(Data_Campaigns!$O$2:$O$15,MATCH($C25,Data_Campaigns!$C$2:$C$15,0))</f>
        <v/>
      </c>
      <c r="U25" s="73">
        <f>IFERROR($T25/$K25,"n/a")</f>
        <v/>
      </c>
      <c r="V25" s="72">
        <f>IFERROR($T25/$K25,"n/a")</f>
        <v/>
      </c>
      <c r="W25" s="70">
        <f>IFERROR($J25/$P25,"n/a")</f>
        <v/>
      </c>
      <c r="X25" s="72">
        <f>IFERROR($P25/$O25,"n/a")</f>
        <v/>
      </c>
    </row>
    <row r="26" ht="14.25" customHeight="1" s="54">
      <c r="A26" s="67">
        <f>INDEX(Data_Campaigns!$A$2:$A$15,MATCH($C26,Data_Campaigns!$C$2:$C$15,0))</f>
        <v/>
      </c>
      <c r="B26" s="67">
        <f>INDEX(Data_Campaigns!$B$2:$B$15,MATCH($C26,Data_Campaigns!$C$2:$C$15,0))</f>
        <v/>
      </c>
      <c r="C26" s="68" t="inlineStr">
        <is>
          <t>META_CustomData_MOFU_Leadgen – Signature FICO</t>
        </is>
      </c>
      <c r="D26" s="67">
        <f>INDEX(Data_Campaigns!$D$2:$D$15,MATCH($C26,Data_Campaigns!$C$2:$C$15,0))</f>
        <v/>
      </c>
      <c r="E26" s="69">
        <f>IF(INDEX(Data_Campaigns!$E$2:$E$15,MATCH($C26,Data_Campaigns!$C$2:$C$15,0))=0,"",INDEX(Data_Campaigns!$E$2:$E$15,MATCH($C26,Data_Campaigns!$C$2:$C$15,0)))</f>
        <v/>
      </c>
      <c r="F26" s="67">
        <f>INDEX(Data_Campaigns!$F$2:$F$15,MATCH($C26,Data_Campaigns!$C$2:$C$15,0))</f>
        <v/>
      </c>
      <c r="G26" s="70">
        <f>IFERROR(IF($E26="","n/a",$J26/$E26),"n/a")</f>
        <v/>
      </c>
      <c r="H26" s="67">
        <f>INDEX(Data_Campaigns!$H$2:$H$15,MATCH($C26,Data_Campaigns!$C$2:$C$15,0))</f>
        <v/>
      </c>
      <c r="I26" s="67">
        <f>INDEX(Data_Campaigns!$I$2:$I$15,MATCH($C26,Data_Campaigns!$C$2:$C$15,0))</f>
        <v/>
      </c>
      <c r="J26" s="71">
        <f>INDEX(Data_Campaigns!$J$2:$J$15,MATCH($C26,Data_Campaigns!$C$2:$C$15,0))</f>
        <v/>
      </c>
      <c r="K26" s="69">
        <f>INDEX(Data_Campaigns!$K$2:$K$15,MATCH($C26,Data_Campaigns!$C$2:$C$15,0))</f>
        <v/>
      </c>
      <c r="L26" s="69">
        <f>INDEX(Data_Campaigns!$L$2:$L$15,MATCH($C26,Data_Campaigns!$C$2:$C$15,0))</f>
        <v/>
      </c>
      <c r="M26" s="67">
        <f>INDEX(Data_Campaigns!$M$2:$M$15,MATCH($C26,Data_Campaigns!$C$2:$C$15,0))</f>
        <v/>
      </c>
      <c r="N26" s="67">
        <f>INDEX(Data_Campaigns!$N$2:$N$15,MATCH($C26,Data_Campaigns!$C$2:$C$15,0))</f>
        <v/>
      </c>
      <c r="O26" s="69">
        <f>COUNTIFS(Data_CRM!$B$2:$B$1694,$C26,Data_CRM!$A$2:$A$1694,"&gt;="&amp;Data_CRM!$J$2,Data_CRM!$A$2:$A$1694,"&lt;="&amp;Data_CRM!$J$3)</f>
        <v/>
      </c>
      <c r="P26" s="69">
        <f>SUMIFS(Data_CRM!$F$2:$F$1694,Data_CRM!$B$2:$B$1694,$C26,Data_CRM!$A$2:$A$1694,"&gt;="&amp;Data_CRM!$J$2,Data_CRM!$A$2:$A$1694,"&lt;="&amp;Data_CRM!$J$3)</f>
        <v/>
      </c>
      <c r="Q26" s="72">
        <f>IFERROR(IF($O26=0,"n/a",$P26/$O26),"n/a")</f>
        <v/>
      </c>
      <c r="R26" s="69">
        <f>COUNTIF(Data_MeetingScheduled!$C$2:$C$200,$C26)</f>
        <v/>
      </c>
      <c r="S26" s="72">
        <f>IFERROR(IF($O26=0,"n/a",$R26/$O26),"n/a")</f>
        <v/>
      </c>
      <c r="T26" s="69">
        <f>INDEX(Data_Campaigns!$O$2:$O$15,MATCH($C26,Data_Campaigns!$C$2:$C$15,0))</f>
        <v/>
      </c>
      <c r="U26" s="73">
        <f>IFERROR($T26/$K26,"n/a")</f>
        <v/>
      </c>
      <c r="V26" s="72">
        <f>IFERROR($T26/$K26,"n/a")</f>
        <v/>
      </c>
      <c r="W26" s="70">
        <f>IFERROR($J26/$P26,"n/a")</f>
        <v/>
      </c>
      <c r="X26" s="72">
        <f>IFERROR($P26/$O26,"n/a")</f>
        <v/>
      </c>
    </row>
    <row r="27" ht="14.25" customHeight="1" s="54">
      <c r="A27" s="67">
        <f>INDEX(Data_Campaigns!$A$2:$A$15,MATCH($C27,Data_Campaigns!$C$2:$C$15,0))</f>
        <v/>
      </c>
      <c r="B27" s="67">
        <f>INDEX(Data_Campaigns!$B$2:$B$15,MATCH($C27,Data_Campaigns!$C$2:$C$15,0))</f>
        <v/>
      </c>
      <c r="C27" s="68" t="inlineStr">
        <is>
          <t>META_RMKT_Engage_ABO_SO</t>
        </is>
      </c>
      <c r="D27" s="67">
        <f>INDEX(Data_Campaigns!$D$2:$D$15,MATCH($C27,Data_Campaigns!$C$2:$C$15,0))</f>
        <v/>
      </c>
      <c r="E27" s="69">
        <f>IF(INDEX(Data_Campaigns!$E$2:$E$15,MATCH($C27,Data_Campaigns!$C$2:$C$15,0))=0,"",INDEX(Data_Campaigns!$E$2:$E$15,MATCH($C27,Data_Campaigns!$C$2:$C$15,0)))</f>
        <v/>
      </c>
      <c r="F27" s="67">
        <f>INDEX(Data_Campaigns!$F$2:$F$15,MATCH($C27,Data_Campaigns!$C$2:$C$15,0))</f>
        <v/>
      </c>
      <c r="G27" s="70">
        <f>IFERROR(IF($E27="","n/a",$J27/$E27),"n/a")</f>
        <v/>
      </c>
      <c r="H27" s="67">
        <f>INDEX(Data_Campaigns!$H$2:$H$15,MATCH($C27,Data_Campaigns!$C$2:$C$15,0))</f>
        <v/>
      </c>
      <c r="I27" s="67">
        <f>INDEX(Data_Campaigns!$I$2:$I$15,MATCH($C27,Data_Campaigns!$C$2:$C$15,0))</f>
        <v/>
      </c>
      <c r="J27" s="71">
        <f>INDEX(Data_Campaigns!$J$2:$J$15,MATCH($C27,Data_Campaigns!$C$2:$C$15,0))</f>
        <v/>
      </c>
      <c r="K27" s="69">
        <f>INDEX(Data_Campaigns!$K$2:$K$15,MATCH($C27,Data_Campaigns!$C$2:$C$15,0))</f>
        <v/>
      </c>
      <c r="L27" s="69">
        <f>INDEX(Data_Campaigns!$L$2:$L$15,MATCH($C27,Data_Campaigns!$C$2:$C$15,0))</f>
        <v/>
      </c>
      <c r="M27" s="67">
        <f>INDEX(Data_Campaigns!$M$2:$M$15,MATCH($C27,Data_Campaigns!$C$2:$C$15,0))</f>
        <v/>
      </c>
      <c r="N27" s="67">
        <f>INDEX(Data_Campaigns!$N$2:$N$15,MATCH($C27,Data_Campaigns!$C$2:$C$15,0))</f>
        <v/>
      </c>
      <c r="O27" s="69">
        <f>COUNTIFS(Data_CRM!$B$2:$B$1694,$C27,Data_CRM!$A$2:$A$1694,"&gt;="&amp;Data_CRM!$J$2,Data_CRM!$A$2:$A$1694,"&lt;="&amp;Data_CRM!$J$3)</f>
        <v/>
      </c>
      <c r="P27" s="69">
        <f>SUMIFS(Data_CRM!$F$2:$F$1694,Data_CRM!$B$2:$B$1694,$C27,Data_CRM!$A$2:$A$1694,"&gt;="&amp;Data_CRM!$J$2,Data_CRM!$A$2:$A$1694,"&lt;="&amp;Data_CRM!$J$3)</f>
        <v/>
      </c>
      <c r="Q27" s="72">
        <f>IFERROR(IF($O27=0,"n/a",$P27/$O27),"n/a")</f>
        <v/>
      </c>
      <c r="R27" s="69">
        <f>COUNTIF(Data_MeetingScheduled!$C$2:$C$200,$C27)</f>
        <v/>
      </c>
      <c r="S27" s="72">
        <f>IFERROR(IF($O27=0,"n/a",$R27/$O27),"n/a")</f>
        <v/>
      </c>
      <c r="T27" s="69">
        <f>INDEX(Data_Campaigns!$O$2:$O$15,MATCH($C27,Data_Campaigns!$C$2:$C$15,0))</f>
        <v/>
      </c>
      <c r="U27" s="73">
        <f>IFERROR($T27/$K27,"n/a")</f>
        <v/>
      </c>
      <c r="V27" s="72">
        <f>IFERROR($T27/$K27,"n/a")</f>
        <v/>
      </c>
      <c r="W27" s="70">
        <f>IFERROR($J27/$P27,"n/a")</f>
        <v/>
      </c>
      <c r="X27" s="72">
        <f>IFERROR($P27/$O27,"n/a")</f>
        <v/>
      </c>
    </row>
    <row r="28" ht="14.25" customHeight="1" s="54">
      <c r="A28" s="67">
        <f>INDEX(Data_Campaigns!$A$2:$A$15,MATCH($C28,Data_Campaigns!$C$2:$C$15,0))</f>
        <v/>
      </c>
      <c r="B28" s="67">
        <f>INDEX(Data_Campaigns!$B$2:$B$15,MATCH($C28,Data_Campaigns!$C$2:$C$15,0))</f>
        <v/>
      </c>
      <c r="C28" s="68" t="inlineStr">
        <is>
          <t>META_RMKT_Socials Pages_CBO_SO</t>
        </is>
      </c>
      <c r="D28" s="67">
        <f>INDEX(Data_Campaigns!$D$2:$D$15,MATCH($C28,Data_Campaigns!$C$2:$C$15,0))</f>
        <v/>
      </c>
      <c r="E28" s="69">
        <f>IF(INDEX(Data_Campaigns!$E$2:$E$15,MATCH($C28,Data_Campaigns!$C$2:$C$15,0))=0,"",INDEX(Data_Campaigns!$E$2:$E$15,MATCH($C28,Data_Campaigns!$C$2:$C$15,0)))</f>
        <v/>
      </c>
      <c r="F28" s="67">
        <f>INDEX(Data_Campaigns!$F$2:$F$15,MATCH($C28,Data_Campaigns!$C$2:$C$15,0))</f>
        <v/>
      </c>
      <c r="G28" s="70">
        <f>IFERROR(IF($E28="","n/a",$J28/$E28),"n/a")</f>
        <v/>
      </c>
      <c r="H28" s="67">
        <f>INDEX(Data_Campaigns!$H$2:$H$15,MATCH($C28,Data_Campaigns!$C$2:$C$15,0))</f>
        <v/>
      </c>
      <c r="I28" s="67">
        <f>INDEX(Data_Campaigns!$I$2:$I$15,MATCH($C28,Data_Campaigns!$C$2:$C$15,0))</f>
        <v/>
      </c>
      <c r="J28" s="71">
        <f>INDEX(Data_Campaigns!$J$2:$J$15,MATCH($C28,Data_Campaigns!$C$2:$C$15,0))</f>
        <v/>
      </c>
      <c r="K28" s="69">
        <f>INDEX(Data_Campaigns!$K$2:$K$15,MATCH($C28,Data_Campaigns!$C$2:$C$15,0))</f>
        <v/>
      </c>
      <c r="L28" s="69">
        <f>INDEX(Data_Campaigns!$L$2:$L$15,MATCH($C28,Data_Campaigns!$C$2:$C$15,0))</f>
        <v/>
      </c>
      <c r="M28" s="67">
        <f>INDEX(Data_Campaigns!$M$2:$M$15,MATCH($C28,Data_Campaigns!$C$2:$C$15,0))</f>
        <v/>
      </c>
      <c r="N28" s="67">
        <f>INDEX(Data_Campaigns!$N$2:$N$15,MATCH($C28,Data_Campaigns!$C$2:$C$15,0))</f>
        <v/>
      </c>
      <c r="O28" s="69">
        <f>COUNTIFS(Data_CRM!$B$2:$B$1694,$C28,Data_CRM!$A$2:$A$1694,"&gt;="&amp;Data_CRM!$J$2,Data_CRM!$A$2:$A$1694,"&lt;="&amp;Data_CRM!$J$3)</f>
        <v/>
      </c>
      <c r="P28" s="69">
        <f>SUMIFS(Data_CRM!$F$2:$F$1694,Data_CRM!$B$2:$B$1694,$C28,Data_CRM!$A$2:$A$1694,"&gt;="&amp;Data_CRM!$J$2,Data_CRM!$A$2:$A$1694,"&lt;="&amp;Data_CRM!$J$3)</f>
        <v/>
      </c>
      <c r="Q28" s="72">
        <f>IFERROR(IF($O28=0,"n/a",$P28/$O28),"n/a")</f>
        <v/>
      </c>
      <c r="R28" s="69">
        <f>COUNTIF(Data_MeetingScheduled!$C$2:$C$200,$C28)</f>
        <v/>
      </c>
      <c r="S28" s="72">
        <f>IFERROR(IF($O28=0,"n/a",$R28/$O28),"n/a")</f>
        <v/>
      </c>
      <c r="T28" s="69">
        <f>INDEX(Data_Campaigns!$O$2:$O$15,MATCH($C28,Data_Campaigns!$C$2:$C$15,0))</f>
        <v/>
      </c>
      <c r="U28" s="73">
        <f>IFERROR($T28/$K28,"n/a")</f>
        <v/>
      </c>
      <c r="V28" s="72">
        <f>IFERROR($T28/$K28,"n/a")</f>
        <v/>
      </c>
      <c r="W28" s="70">
        <f>IFERROR($J28/$P28,"n/a")</f>
        <v/>
      </c>
      <c r="X28" s="72">
        <f>IFERROR($P28/$O28,"n/a")</f>
        <v/>
      </c>
    </row>
    <row r="29" ht="14.25" customHeight="1" s="54">
      <c r="A29" s="67">
        <f>INDEX(Data_Campaigns!$A$2:$A$15,MATCH($C29,Data_Campaigns!$C$2:$C$15,0))</f>
        <v/>
      </c>
      <c r="B29" s="67">
        <f>INDEX(Data_Campaigns!$B$2:$B$15,MATCH($C29,Data_Campaigns!$C$2:$C$15,0))</f>
        <v/>
      </c>
      <c r="C29" s="68" t="inlineStr">
        <is>
          <t>CRM Custom List_CBO_SO</t>
        </is>
      </c>
      <c r="D29" s="67">
        <f>INDEX(Data_Campaigns!$D$2:$D$15,MATCH($C29,Data_Campaigns!$C$2:$C$15,0))</f>
        <v/>
      </c>
      <c r="E29" s="69">
        <f>IF(INDEX(Data_Campaigns!$E$2:$E$15,MATCH($C29,Data_Campaigns!$C$2:$C$15,0))=0,"",INDEX(Data_Campaigns!$E$2:$E$15,MATCH($C29,Data_Campaigns!$C$2:$C$15,0)))</f>
        <v/>
      </c>
      <c r="F29" s="67">
        <f>INDEX(Data_Campaigns!$F$2:$F$15,MATCH($C29,Data_Campaigns!$C$2:$C$15,0))</f>
        <v/>
      </c>
      <c r="G29" s="70">
        <f>IFERROR(IF($E29="","n/a",$J29/$E29),"n/a")</f>
        <v/>
      </c>
      <c r="H29" s="67">
        <f>INDEX(Data_Campaigns!$H$2:$H$15,MATCH($C29,Data_Campaigns!$C$2:$C$15,0))</f>
        <v/>
      </c>
      <c r="I29" s="67">
        <f>INDEX(Data_Campaigns!$I$2:$I$15,MATCH($C29,Data_Campaigns!$C$2:$C$15,0))</f>
        <v/>
      </c>
      <c r="J29" s="71">
        <f>INDEX(Data_Campaigns!$J$2:$J$15,MATCH($C29,Data_Campaigns!$C$2:$C$15,0))</f>
        <v/>
      </c>
      <c r="K29" s="69">
        <f>INDEX(Data_Campaigns!$K$2:$K$15,MATCH($C29,Data_Campaigns!$C$2:$C$15,0))</f>
        <v/>
      </c>
      <c r="L29" s="69">
        <f>INDEX(Data_Campaigns!$L$2:$L$15,MATCH($C29,Data_Campaigns!$C$2:$C$15,0))</f>
        <v/>
      </c>
      <c r="M29" s="67">
        <f>INDEX(Data_Campaigns!$M$2:$M$15,MATCH($C29,Data_Campaigns!$C$2:$C$15,0))</f>
        <v/>
      </c>
      <c r="N29" s="67">
        <f>INDEX(Data_Campaigns!$N$2:$N$15,MATCH($C29,Data_Campaigns!$C$2:$C$15,0))</f>
        <v/>
      </c>
      <c r="O29" s="69">
        <f>COUNTIFS(Data_CRM!$B$2:$B$1694,$C29,Data_CRM!$A$2:$A$1694,"&gt;="&amp;Data_CRM!$J$2,Data_CRM!$A$2:$A$1694,"&lt;="&amp;Data_CRM!$J$3)</f>
        <v/>
      </c>
      <c r="P29" s="69">
        <f>SUMIFS(Data_CRM!$F$2:$F$1694,Data_CRM!$B$2:$B$1694,$C29,Data_CRM!$A$2:$A$1694,"&gt;="&amp;Data_CRM!$J$2,Data_CRM!$A$2:$A$1694,"&lt;="&amp;Data_CRM!$J$3)</f>
        <v/>
      </c>
      <c r="Q29" s="72">
        <f>IFERROR(IF($O29=0,"n/a",$P29/$O29),"n/a")</f>
        <v/>
      </c>
      <c r="R29" s="69">
        <f>COUNTIF(Data_MeetingScheduled!$C$2:$C$200,$C29)</f>
        <v/>
      </c>
      <c r="S29" s="72">
        <f>IFERROR(IF($O29=0,"n/a",$R29/$O29),"n/a")</f>
        <v/>
      </c>
      <c r="T29" s="69">
        <f>INDEX(Data_Campaigns!$O$2:$O$15,MATCH($C29,Data_Campaigns!$C$2:$C$15,0))</f>
        <v/>
      </c>
      <c r="U29" s="73">
        <f>IFERROR($T29/$K29,"n/a")</f>
        <v/>
      </c>
      <c r="V29" s="72">
        <f>IFERROR($T29/$K29,"n/a")</f>
        <v/>
      </c>
      <c r="W29" s="70">
        <f>IFERROR($J29/$P29,"n/a")</f>
        <v/>
      </c>
      <c r="X29" s="72">
        <f>IFERROR($P29/$O29,"n/a")</f>
        <v/>
      </c>
    </row>
    <row r="30" ht="15.75" customHeight="1" s="54">
      <c r="A30" s="74" t="n"/>
      <c r="B30" s="74" t="n"/>
      <c r="C30" s="75" t="inlineStr">
        <is>
          <t>TOTAL / BLENDED AVERAGE</t>
        </is>
      </c>
      <c r="D30" s="74" t="n"/>
      <c r="E30" s="76">
        <f>SUM(E21:E29)</f>
        <v/>
      </c>
      <c r="F30" s="74" t="n"/>
      <c r="G30" s="77">
        <f>IFERROR($J30/$E30,"n/a")</f>
        <v/>
      </c>
      <c r="H30" s="74" t="n"/>
      <c r="I30" s="74" t="n"/>
      <c r="J30" s="78">
        <f>SUM(J21:J29)</f>
        <v/>
      </c>
      <c r="K30" s="76">
        <f>SUM(K21:K29)</f>
        <v/>
      </c>
      <c r="L30" s="76">
        <f>SUM(L21:L29)</f>
        <v/>
      </c>
      <c r="M30" s="74" t="n"/>
      <c r="N30" s="74" t="n"/>
      <c r="O30" s="76">
        <f>SUM(O21:O29)</f>
        <v/>
      </c>
      <c r="P30" s="76">
        <f>SUM(P21:P29)</f>
        <v/>
      </c>
      <c r="Q30" s="79">
        <f>IFERROR($P30/$O30,"n/a")</f>
        <v/>
      </c>
      <c r="R30" s="76">
        <f>SUM(R21:R29)</f>
        <v/>
      </c>
      <c r="S30" s="79">
        <f>IFERROR($R30/$O30,"n/a")</f>
        <v/>
      </c>
      <c r="T30" s="76">
        <f>SUM(T21:T29)</f>
        <v/>
      </c>
      <c r="U30" s="80">
        <f>IFERROR($T30/$K30,"n/a")</f>
        <v/>
      </c>
      <c r="V30" s="79">
        <f>IFERROR($T30/$K30,"n/a")</f>
        <v/>
      </c>
      <c r="W30" s="77">
        <f>IFERROR($J30/$P30,"n/a")</f>
        <v/>
      </c>
      <c r="X30" s="79">
        <f>IFERROR($P30/$O30,"n/a")</f>
        <v/>
      </c>
    </row>
    <row r="31" ht="14.25" customHeight="1" s="54">
      <c r="A31" s="81" t="inlineStr">
        <is>
          <t>Total Meeting Scheduled — LeadModule + MeetingDetails, 1–28 Oct 2026, deduplicated by email (see Data Notes)</t>
        </is>
      </c>
      <c r="R31" s="82">
        <f>Data_MeetingScheduled!$J$2</f>
        <v/>
      </c>
      <c r="S31" s="83" t="n"/>
      <c r="T31" s="83" t="n"/>
      <c r="U31" s="83" t="n"/>
      <c r="V31" s="83" t="n"/>
      <c r="W31" s="83" t="n"/>
      <c r="X31" s="83" t="n"/>
    </row>
    <row r="32" ht="120" customHeight="1" s="54">
      <c r="A32" s="84" t="n"/>
      <c r="B32" s="63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4" t="n"/>
    </row>
    <row r="33" ht="47.25" customHeight="1" s="54">
      <c r="A33" s="84" t="n"/>
      <c r="B33" s="63" t="n"/>
      <c r="C33" s="63" t="n"/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4" t="n"/>
    </row>
    <row r="35" ht="19.5" customHeight="1" s="54">
      <c r="A35" s="65" t="inlineStr">
        <is>
          <t>2.  CAMPAIGN-WISE PERFORMANCE  —  FTD 28 Oct 2026  (CRM lead data, LeadChain-mapped)</t>
        </is>
      </c>
    </row>
    <row r="36" ht="47.25" customHeight="1" s="54">
      <c r="A36" s="84" t="n"/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4" t="n"/>
    </row>
    <row r="37" ht="25.5" customHeight="1" s="54">
      <c r="A37" s="85" t="inlineStr">
        <is>
          <t>Campaign name</t>
        </is>
      </c>
      <c r="B37" s="85" t="inlineStr">
        <is>
          <t>CRM Leads (FTD)</t>
        </is>
      </c>
      <c r="C37" s="85" t="inlineStr">
        <is>
          <t>Qualified Leads (FTD)</t>
        </is>
      </c>
      <c r="D37" s="85" t="inlineStr">
        <is>
          <t>Qualified Lead % (FTD)</t>
        </is>
      </c>
      <c r="E37" s="85" t="inlineStr">
        <is>
          <t>Meetings Scheduled (FTD)</t>
        </is>
      </c>
      <c r="F37" s="85" t="inlineStr">
        <is>
          <t>Meeting Scheduled % (FTD)</t>
        </is>
      </c>
    </row>
    <row r="38" ht="14.25" customHeight="1" s="54">
      <c r="A38" s="68" t="inlineStr">
        <is>
          <t>Andromeda_CBO_Signature Store_FICO_Daewoo_SO</t>
        </is>
      </c>
      <c r="B38" s="69">
        <f>COUNTIFS(Data_CRM!$B$2:$B$1694,$A38,Data_CRM!$A$2:$A$1694,"&gt;="&amp;Data_CRM!$J$4,Data_CRM!$A$2:$A$1694,"&lt;="&amp;Data_CRM!$J$5)</f>
        <v/>
      </c>
      <c r="C38" s="69">
        <f>SUMIFS(Data_CRM!$F$2:$F$1694,Data_CRM!$B$2:$B$1694,$A38,Data_CRM!$A$2:$A$1694,"&gt;="&amp;Data_CRM!$J$4,Data_CRM!$A$2:$A$1694,"&lt;="&amp;Data_CRM!$J$5)</f>
        <v/>
      </c>
      <c r="D38" s="72">
        <f>IFERROR(IF($B38=0,"n/a",$C38/$B38),"n/a")</f>
        <v/>
      </c>
      <c r="E38" s="69">
        <f>COUNTIFS(Data_MeetingScheduled!$C$2:$C$200,$A38,Data_MeetingScheduled!$G$2:$G$200,"&gt;="&amp;Data_CRM!$J$4,Data_MeetingScheduled!$G$2:$G$200,"&lt;="&amp;Data_CRM!$J$5)</f>
        <v/>
      </c>
      <c r="F38" s="72">
        <f>IFERROR(IF($B38=0,"n/a",$E38/$B38),"n/a")</f>
        <v/>
      </c>
    </row>
    <row r="39" ht="14.25" customHeight="1" s="54">
      <c r="A39" s="68" t="inlineStr">
        <is>
          <t>META_CustomData_MOFU_STOCKIST_Leadgen</t>
        </is>
      </c>
      <c r="B39" s="69">
        <f>COUNTIFS(Data_CRM!$B$2:$B$1694,$A39,Data_CRM!$A$2:$A$1694,"&gt;="&amp;Data_CRM!$J$4,Data_CRM!$A$2:$A$1694,"&lt;="&amp;Data_CRM!$J$5)</f>
        <v/>
      </c>
      <c r="C39" s="69">
        <f>SUMIFS(Data_CRM!$F$2:$F$1694,Data_CRM!$B$2:$B$1694,$A39,Data_CRM!$A$2:$A$1694,"&gt;="&amp;Data_CRM!$J$4,Data_CRM!$A$2:$A$1694,"&lt;="&amp;Data_CRM!$J$5)</f>
        <v/>
      </c>
      <c r="D39" s="72">
        <f>IFERROR(IF($B39=0,"n/a",$C39/$B39),"n/a")</f>
        <v/>
      </c>
      <c r="E39" s="69">
        <f>COUNTIFS(Data_MeetingScheduled!$C$2:$C$200,$A39,Data_MeetingScheduled!$G$2:$G$200,"&gt;="&amp;Data_CRM!$J$4,Data_MeetingScheduled!$G$2:$G$200,"&lt;="&amp;Data_CRM!$J$5)</f>
        <v/>
      </c>
      <c r="F39" s="72">
        <f>IFERROR(IF($B39=0,"n/a",$E39/$B39),"n/a")</f>
        <v/>
      </c>
    </row>
    <row r="40" ht="14.25" customHeight="1" s="54">
      <c r="A40" s="68" t="inlineStr">
        <is>
          <t>Andromeda_ABO_Stockist_Daewoo_SO</t>
        </is>
      </c>
      <c r="B40" s="69">
        <f>COUNTIFS(Data_CRM!$B$2:$B$1694,$A40,Data_CRM!$A$2:$A$1694,"&gt;="&amp;Data_CRM!$J$4,Data_CRM!$A$2:$A$1694,"&lt;="&amp;Data_CRM!$J$5)</f>
        <v/>
      </c>
      <c r="C40" s="69">
        <f>SUMIFS(Data_CRM!$F$2:$F$1694,Data_CRM!$B$2:$B$1694,$A40,Data_CRM!$A$2:$A$1694,"&gt;="&amp;Data_CRM!$J$4,Data_CRM!$A$2:$A$1694,"&lt;="&amp;Data_CRM!$J$5)</f>
        <v/>
      </c>
      <c r="D40" s="72">
        <f>IFERROR(IF($B40=0,"n/a",$C40/$B40),"n/a")</f>
        <v/>
      </c>
      <c r="E40" s="69">
        <f>COUNTIFS(Data_MeetingScheduled!$C$2:$C$200,$A40,Data_MeetingScheduled!$G$2:$G$200,"&gt;="&amp;Data_CRM!$J$4,Data_MeetingScheduled!$G$2:$G$200,"&lt;="&amp;Data_CRM!$J$5)</f>
        <v/>
      </c>
      <c r="F40" s="72">
        <f>IFERROR(IF($B40=0,"n/a",$E40/$B40),"n/a")</f>
        <v/>
      </c>
    </row>
    <row r="41" ht="14.25" customHeight="1" s="54">
      <c r="A41" s="68" t="inlineStr">
        <is>
          <t>Andromeda_CBO__DDP_Daewoo_SO</t>
        </is>
      </c>
      <c r="B41" s="69">
        <f>COUNTIFS(Data_CRM!$B$2:$B$1694,$A41,Data_CRM!$A$2:$A$1694,"&gt;="&amp;Data_CRM!$J$4,Data_CRM!$A$2:$A$1694,"&lt;="&amp;Data_CRM!$J$5)</f>
        <v/>
      </c>
      <c r="C41" s="69">
        <f>SUMIFS(Data_CRM!$F$2:$F$1694,Data_CRM!$B$2:$B$1694,$A41,Data_CRM!$A$2:$A$1694,"&gt;="&amp;Data_CRM!$J$4,Data_CRM!$A$2:$A$1694,"&lt;="&amp;Data_CRM!$J$5)</f>
        <v/>
      </c>
      <c r="D41" s="72">
        <f>IFERROR(IF($B41=0,"n/a",$C41/$B41),"n/a")</f>
        <v/>
      </c>
      <c r="E41" s="69">
        <f>COUNTIFS(Data_MeetingScheduled!$C$2:$C$200,$A41,Data_MeetingScheduled!$G$2:$G$200,"&gt;="&amp;Data_CRM!$J$4,Data_MeetingScheduled!$G$2:$G$200,"&lt;="&amp;Data_CRM!$J$5)</f>
        <v/>
      </c>
      <c r="F41" s="72">
        <f>IFERROR(IF($B41=0,"n/a",$E41/$B41),"n/a")</f>
        <v/>
      </c>
    </row>
    <row r="42" ht="14.25" customHeight="1" s="54">
      <c r="A42" s="68" t="inlineStr">
        <is>
          <t>META_CustomData_MOFU_Leadgen – DDP</t>
        </is>
      </c>
      <c r="B42" s="69">
        <f>COUNTIFS(Data_CRM!$B$2:$B$1694,$A42,Data_CRM!$A$2:$A$1694,"&gt;="&amp;Data_CRM!$J$4,Data_CRM!$A$2:$A$1694,"&lt;="&amp;Data_CRM!$J$5)</f>
        <v/>
      </c>
      <c r="C42" s="69">
        <f>SUMIFS(Data_CRM!$F$2:$F$1694,Data_CRM!$B$2:$B$1694,$A42,Data_CRM!$A$2:$A$1694,"&gt;="&amp;Data_CRM!$J$4,Data_CRM!$A$2:$A$1694,"&lt;="&amp;Data_CRM!$J$5)</f>
        <v/>
      </c>
      <c r="D42" s="72">
        <f>IFERROR(IF($B42=0,"n/a",$C42/$B42),"n/a")</f>
        <v/>
      </c>
      <c r="E42" s="69">
        <f>COUNTIFS(Data_MeetingScheduled!$C$2:$C$200,$A42,Data_MeetingScheduled!$G$2:$G$200,"&gt;="&amp;Data_CRM!$J$4,Data_MeetingScheduled!$G$2:$G$200,"&lt;="&amp;Data_CRM!$J$5)</f>
        <v/>
      </c>
      <c r="F42" s="72">
        <f>IFERROR(IF($B42=0,"n/a",$E42/$B42),"n/a")</f>
        <v/>
      </c>
    </row>
    <row r="43" ht="14.25" customHeight="1" s="54">
      <c r="A43" s="68" t="inlineStr">
        <is>
          <t>META_CustomData_MOFU_Leadgen – Signature FICO</t>
        </is>
      </c>
      <c r="B43" s="69">
        <f>COUNTIFS(Data_CRM!$B$2:$B$1694,$A43,Data_CRM!$A$2:$A$1694,"&gt;="&amp;Data_CRM!$J$4,Data_CRM!$A$2:$A$1694,"&lt;="&amp;Data_CRM!$J$5)</f>
        <v/>
      </c>
      <c r="C43" s="69">
        <f>SUMIFS(Data_CRM!$F$2:$F$1694,Data_CRM!$B$2:$B$1694,$A43,Data_CRM!$A$2:$A$1694,"&gt;="&amp;Data_CRM!$J$4,Data_CRM!$A$2:$A$1694,"&lt;="&amp;Data_CRM!$J$5)</f>
        <v/>
      </c>
      <c r="D43" s="72">
        <f>IFERROR(IF($B43=0,"n/a",$C43/$B43),"n/a")</f>
        <v/>
      </c>
      <c r="E43" s="69">
        <f>COUNTIFS(Data_MeetingScheduled!$C$2:$C$200,$A43,Data_MeetingScheduled!$G$2:$G$200,"&gt;="&amp;Data_CRM!$J$4,Data_MeetingScheduled!$G$2:$G$200,"&lt;="&amp;Data_CRM!$J$5)</f>
        <v/>
      </c>
      <c r="F43" s="72">
        <f>IFERROR(IF($B43=0,"n/a",$E43/$B43),"n/a")</f>
        <v/>
      </c>
    </row>
    <row r="44" ht="14.25" customHeight="1" s="54">
      <c r="A44" s="68" t="inlineStr">
        <is>
          <t>META_RMKT_Engage_ABO_SO</t>
        </is>
      </c>
      <c r="B44" s="69">
        <f>COUNTIFS(Data_CRM!$B$2:$B$1694,$A44,Data_CRM!$A$2:$A$1694,"&gt;="&amp;Data_CRM!$J$4,Data_CRM!$A$2:$A$1694,"&lt;="&amp;Data_CRM!$J$5)</f>
        <v/>
      </c>
      <c r="C44" s="69">
        <f>SUMIFS(Data_CRM!$F$2:$F$1694,Data_CRM!$B$2:$B$1694,$A44,Data_CRM!$A$2:$A$1694,"&gt;="&amp;Data_CRM!$J$4,Data_CRM!$A$2:$A$1694,"&lt;="&amp;Data_CRM!$J$5)</f>
        <v/>
      </c>
      <c r="D44" s="72">
        <f>IFERROR(IF($B44=0,"n/a",$C44/$B44),"n/a")</f>
        <v/>
      </c>
      <c r="E44" s="69">
        <f>COUNTIFS(Data_MeetingScheduled!$C$2:$C$200,$A44,Data_MeetingScheduled!$G$2:$G$200,"&gt;="&amp;Data_CRM!$J$4,Data_MeetingScheduled!$G$2:$G$200,"&lt;="&amp;Data_CRM!$J$5)</f>
        <v/>
      </c>
      <c r="F44" s="72">
        <f>IFERROR(IF($B44=0,"n/a",$E44/$B44),"n/a")</f>
        <v/>
      </c>
    </row>
    <row r="45" ht="14.25" customHeight="1" s="54">
      <c r="A45" s="68" t="inlineStr">
        <is>
          <t>META_RMKT_Socials Pages_CBO_SO</t>
        </is>
      </c>
      <c r="B45" s="69">
        <f>COUNTIFS(Data_CRM!$B$2:$B$1694,$A45,Data_CRM!$A$2:$A$1694,"&gt;="&amp;Data_CRM!$J$4,Data_CRM!$A$2:$A$1694,"&lt;="&amp;Data_CRM!$J$5)</f>
        <v/>
      </c>
      <c r="C45" s="69">
        <f>SUMIFS(Data_CRM!$F$2:$F$1694,Data_CRM!$B$2:$B$1694,$A45,Data_CRM!$A$2:$A$1694,"&gt;="&amp;Data_CRM!$J$4,Data_CRM!$A$2:$A$1694,"&lt;="&amp;Data_CRM!$J$5)</f>
        <v/>
      </c>
      <c r="D45" s="72">
        <f>IFERROR(IF($B45=0,"n/a",$C45/$B45),"n/a")</f>
        <v/>
      </c>
      <c r="E45" s="69">
        <f>COUNTIFS(Data_MeetingScheduled!$C$2:$C$200,$A45,Data_MeetingScheduled!$G$2:$G$200,"&gt;="&amp;Data_CRM!$J$4,Data_MeetingScheduled!$G$2:$G$200,"&lt;="&amp;Data_CRM!$J$5)</f>
        <v/>
      </c>
      <c r="F45" s="72">
        <f>IFERROR(IF($B45=0,"n/a",$E45/$B45),"n/a")</f>
        <v/>
      </c>
    </row>
    <row r="46" ht="14.25" customHeight="1" s="54">
      <c r="A46" s="68" t="inlineStr">
        <is>
          <t>CRM Custom List_CBO_SO</t>
        </is>
      </c>
      <c r="B46" s="69">
        <f>COUNTIFS(Data_CRM!$B$2:$B$1694,$A46,Data_CRM!$A$2:$A$1694,"&gt;="&amp;Data_CRM!$J$4,Data_CRM!$A$2:$A$1694,"&lt;="&amp;Data_CRM!$J$5)</f>
        <v/>
      </c>
      <c r="C46" s="69">
        <f>SUMIFS(Data_CRM!$F$2:$F$1694,Data_CRM!$B$2:$B$1694,$A46,Data_CRM!$A$2:$A$1694,"&gt;="&amp;Data_CRM!$J$4,Data_CRM!$A$2:$A$1694,"&lt;="&amp;Data_CRM!$J$5)</f>
        <v/>
      </c>
      <c r="D46" s="72">
        <f>IFERROR(IF($B46=0,"n/a",$C46/$B46),"n/a")</f>
        <v/>
      </c>
      <c r="E46" s="69">
        <f>COUNTIFS(Data_MeetingScheduled!$C$2:$C$200,$A46,Data_MeetingScheduled!$G$2:$G$200,"&gt;="&amp;Data_CRM!$J$4,Data_MeetingScheduled!$G$2:$G$200,"&lt;="&amp;Data_CRM!$J$5)</f>
        <v/>
      </c>
      <c r="F46" s="72">
        <f>IFERROR(IF($B46=0,"n/a",$E46/$B46),"n/a")</f>
        <v/>
      </c>
    </row>
    <row r="47" ht="14.25" customHeight="1" s="54">
      <c r="A47" s="86" t="inlineStr">
        <is>
          <t>Not mapped to a campaign (no LeadChain match)</t>
        </is>
      </c>
      <c r="B47" s="87">
        <f>COUNTIFS(Data_CRM!$B$2:$B$1694,"Not mapped to a campaign",Data_CRM!$A$2:$A$1694,"&gt;="&amp;Data_CRM!$J$4,Data_CRM!$A$2:$A$1694,"&lt;="&amp;Data_CRM!$J$5)</f>
        <v/>
      </c>
      <c r="C47" s="87">
        <f>SUMIFS(Data_CRM!$F$2:$F$1694,Data_CRM!$B$2:$B$1694,"Not mapped to a campaign",Data_CRM!$A$2:$A$1694,"&gt;="&amp;Data_CRM!$J$4,Data_CRM!$A$2:$A$1694,"&lt;="&amp;Data_CRM!$J$5)</f>
        <v/>
      </c>
      <c r="D47" s="88">
        <f>IFERROR(IF($B47=0,"n/a",$C47/$B47),"n/a")</f>
        <v/>
      </c>
      <c r="E47" s="87">
        <f>COUNTIFS(Data_MeetingScheduled!$C$2:$C$200,"Not mapped to a campaign",Data_MeetingScheduled!$G$2:$G$200,"&gt;="&amp;Data_CRM!$J$4,Data_MeetingScheduled!$G$2:$G$200,"&lt;="&amp;Data_CRM!$J$5)</f>
        <v/>
      </c>
      <c r="F47" s="88">
        <f>IFERROR(IF($B47=0,"n/a",$E47/$B47),"n/a")</f>
        <v/>
      </c>
    </row>
    <row r="48" ht="15.75" customHeight="1" s="54">
      <c r="A48" s="89" t="inlineStr">
        <is>
          <t>TOTAL (FULL CRM EXPORT FOR THE FTD PERIOD)</t>
        </is>
      </c>
      <c r="B48" s="90">
        <f>COUNTIFS(Data_CRM!$A$2:$A$1694,"&gt;="&amp;Data_CRM!$J$4,Data_CRM!$A$2:$A$1694,"&lt;="&amp;Data_CRM!$J$5)</f>
        <v/>
      </c>
      <c r="C48" s="90">
        <f>SUMIFS(Data_CRM!$F$2:$F$1694,Data_CRM!$A$2:$A$1694,"&gt;="&amp;Data_CRM!$J$4,Data_CRM!$A$2:$A$1694,"&lt;="&amp;Data_CRM!$J$5)</f>
        <v/>
      </c>
      <c r="D48" s="91">
        <f>IFERROR($C48/$B48,"n/a")</f>
        <v/>
      </c>
      <c r="E48" s="90">
        <f>COUNTIFS(Data_MeetingScheduled!$G$2:$G$200,"&gt;="&amp;Data_CRM!$J$4,Data_MeetingScheduled!$G$2:$G$200,"&lt;="&amp;Data_CRM!$J$5)</f>
        <v/>
      </c>
      <c r="F48" s="91">
        <f>IFERROR($E48/$B48,"n/a")</f>
        <v/>
      </c>
    </row>
    <row r="50" ht="19.5" customHeight="1" s="54">
      <c r="A50" s="92" t="inlineStr">
        <is>
          <t>3.  AD SET-WISE PERFORMANCE  —  MTD (1 Oct – 28 Oct 2026),  grouped by parent campaign</t>
        </is>
      </c>
    </row>
    <row r="51" ht="30" customHeight="1" s="54">
      <c r="A51" s="66" t="inlineStr">
        <is>
          <t>Parent Campaign</t>
        </is>
      </c>
      <c r="B51" s="66" t="inlineStr">
        <is>
          <t>Ad set name</t>
        </is>
      </c>
      <c r="C51" s="66" t="inlineStr">
        <is>
          <t>Ad set delivery</t>
        </is>
      </c>
      <c r="D51" s="66" t="inlineStr">
        <is>
          <t>Results</t>
        </is>
      </c>
      <c r="E51" s="66" t="inlineStr">
        <is>
          <t>Result indicator</t>
        </is>
      </c>
      <c r="F51" s="66" t="inlineStr">
        <is>
          <t>Cost per result</t>
        </is>
      </c>
      <c r="G51" s="66" t="inlineStr">
        <is>
          <t>Ad set budget</t>
        </is>
      </c>
      <c r="H51" s="66" t="inlineStr">
        <is>
          <t>Ad set budget type</t>
        </is>
      </c>
      <c r="I51" s="66" t="inlineStr">
        <is>
          <t>Amount spent (INR)</t>
        </is>
      </c>
      <c r="J51" s="66" t="inlineStr">
        <is>
          <t>Impressions</t>
        </is>
      </c>
      <c r="K51" s="66" t="inlineStr">
        <is>
          <t>Reach</t>
        </is>
      </c>
      <c r="L51" s="66" t="inlineStr">
        <is>
          <t>Ends</t>
        </is>
      </c>
      <c r="M51" s="66" t="inlineStr">
        <is>
          <t>Starts</t>
        </is>
      </c>
      <c r="N51" s="66" t="inlineStr">
        <is>
          <t>Attribution setting</t>
        </is>
      </c>
      <c r="O51" s="66" t="inlineStr">
        <is>
          <t>Bid type</t>
        </is>
      </c>
      <c r="P51" s="66" t="inlineStr">
        <is>
          <t>% of Campaign Spend</t>
        </is>
      </c>
      <c r="Q51" s="66" t="inlineStr">
        <is>
          <t>% of Campaign Results</t>
        </is>
      </c>
      <c r="R51" s="66" t="inlineStr">
        <is>
          <t>Meetings Scheduled</t>
        </is>
      </c>
      <c r="S51" s="66" t="inlineStr">
        <is>
          <t>Meeting Scheduled %</t>
        </is>
      </c>
      <c r="T51" s="66" t="inlineStr">
        <is>
          <t>Link Clicks</t>
        </is>
      </c>
      <c r="U51" s="66" t="inlineStr">
        <is>
          <t>CTR</t>
        </is>
      </c>
      <c r="V51" s="66" t="inlineStr">
        <is>
          <t>CTR %</t>
        </is>
      </c>
      <c r="W51" s="66" t="inlineStr">
        <is>
          <t>CRM Leads (LeadChain)</t>
        </is>
      </c>
      <c r="X51" s="66" t="inlineStr">
        <is>
          <t>Qualified Leads</t>
        </is>
      </c>
      <c r="Y51" s="66" t="inlineStr">
        <is>
          <t>CPQL</t>
        </is>
      </c>
      <c r="Z51" s="66" t="inlineStr">
        <is>
          <t>CPQL %</t>
        </is>
      </c>
    </row>
    <row r="52" ht="14.25" customHeight="1" s="54">
      <c r="A52" s="93" t="inlineStr">
        <is>
          <t>Andromeda_CBO_Signature Store_FICO_Daewoo_SO</t>
        </is>
      </c>
      <c r="B52" s="68" t="inlineStr">
        <is>
          <t>Business Interest Signature Stores_FICO</t>
        </is>
      </c>
      <c r="C52" s="67" t="inlineStr">
        <is>
          <t>active</t>
        </is>
      </c>
      <c r="D52" s="69" t="n">
        <v>351</v>
      </c>
      <c r="E52" s="67" t="inlineStr">
        <is>
          <t>actions:leadgen.other</t>
        </is>
      </c>
      <c r="F52" s="70">
        <f>IFERROR($I52/$D52,"n/a")</f>
        <v/>
      </c>
      <c r="G52" s="67" t="inlineStr">
        <is>
          <t>Using campaign budget</t>
        </is>
      </c>
      <c r="H52" s="67" t="n">
        <v>0</v>
      </c>
      <c r="I52" s="71" t="n">
        <v>229018.3</v>
      </c>
      <c r="J52" s="69" t="n">
        <v>1577811</v>
      </c>
      <c r="K52" s="69" t="n">
        <v>790322</v>
      </c>
      <c r="L52" s="67" t="inlineStr">
        <is>
          <t>Ongoing</t>
        </is>
      </c>
      <c r="M52" s="67" t="inlineStr">
        <is>
          <t>2026-02-27</t>
        </is>
      </c>
      <c r="N52" s="67" t="inlineStr">
        <is>
          <t>7-day click or 1-day view</t>
        </is>
      </c>
      <c r="O52" s="67" t="inlineStr">
        <is>
          <t>ABSOLUTE_OCPM</t>
        </is>
      </c>
      <c r="P52" s="72">
        <f>IFERROR($I52/INDEX($J$21:$J$29,MATCH($A52,$C$21:$C$29,0)),"n/a")</f>
        <v/>
      </c>
      <c r="Q52" s="72">
        <f>IFERROR(IF(INDEX($E$21:$E$29,MATCH($A52,$C$21:$C$29,0))="","n/a",$D52/INDEX($E$21:$E$29,MATCH($A52,$C$21:$C$29,0))),"n/a")</f>
        <v/>
      </c>
      <c r="R52" s="69">
        <f>COUNTIFS(Data_MeetingScheduled!$C$2:$C$200,$A52,Data_MeetingScheduled!$D$2:$D$200,$B52)</f>
        <v/>
      </c>
      <c r="S52" s="72">
        <f>IFERROR($R52/Data_MeetingScheduled!$J$2,"n/a")</f>
        <v/>
      </c>
      <c r="T52" s="69" t="n">
        <v>7499</v>
      </c>
      <c r="U52" s="73">
        <f>IFERROR($T52/$J52,"n/a")</f>
        <v/>
      </c>
      <c r="V52" s="72">
        <f>IFERROR($T52/$J52,"n/a")</f>
        <v/>
      </c>
      <c r="W52" s="69">
        <f>COUNTIFS(Data_CRM!$B$2:$B$1694,$A52,Data_CRM!$C$2:$C$1694,$B52)</f>
        <v/>
      </c>
      <c r="X52" s="69">
        <f>COUNTIFS(Data_CRM!$B$2:$B$1694,$A52,Data_CRM!$C$2:$C$1694,$B52,Data_CRM!$F$2:$F$1694,1)</f>
        <v/>
      </c>
      <c r="Y52" s="70">
        <f>IFERROR($I52/$X52,"n/a")</f>
        <v/>
      </c>
      <c r="Z52" s="72">
        <f>IFERROR(IF($W52=0,"n/a",$X52/$W52),"n/a")</f>
        <v/>
      </c>
    </row>
    <row r="53" ht="14.25" customHeight="1" s="54">
      <c r="A53" s="93" t="inlineStr">
        <is>
          <t>Andromeda_CBO_Signature Store_FICO_Daewoo_SO</t>
        </is>
      </c>
      <c r="B53" s="68" t="inlineStr">
        <is>
          <t>HHI Pan India With Exclusions Signature Stores_FICO</t>
        </is>
      </c>
      <c r="C53" s="67" t="inlineStr">
        <is>
          <t>active</t>
        </is>
      </c>
      <c r="D53" s="69" t="n">
        <v>868</v>
      </c>
      <c r="E53" s="67" t="inlineStr">
        <is>
          <t>actions:leadgen.other</t>
        </is>
      </c>
      <c r="F53" s="70">
        <f>IFERROR($I53/$D53,"n/a")</f>
        <v/>
      </c>
      <c r="G53" s="67" t="inlineStr">
        <is>
          <t>Using campaign budget</t>
        </is>
      </c>
      <c r="H53" s="67" t="n">
        <v>0</v>
      </c>
      <c r="I53" s="71" t="n">
        <v>443840.57</v>
      </c>
      <c r="J53" s="69" t="n">
        <v>2999156</v>
      </c>
      <c r="K53" s="69" t="n">
        <v>1180535</v>
      </c>
      <c r="L53" s="67" t="inlineStr">
        <is>
          <t>Ongoing</t>
        </is>
      </c>
      <c r="M53" s="67" t="inlineStr">
        <is>
          <t>2026-10-17</t>
        </is>
      </c>
      <c r="N53" s="67" t="inlineStr">
        <is>
          <t>7-day click or 1-day view</t>
        </is>
      </c>
      <c r="O53" s="67" t="inlineStr">
        <is>
          <t>ABSOLUTE_OCPM</t>
        </is>
      </c>
      <c r="P53" s="72">
        <f>IFERROR($I53/INDEX($J$21:$J$29,MATCH($A53,$C$21:$C$29,0)),"n/a")</f>
        <v/>
      </c>
      <c r="Q53" s="72">
        <f>IFERROR(IF(INDEX($E$21:$E$29,MATCH($A53,$C$21:$C$29,0))="","n/a",$D53/INDEX($E$21:$E$29,MATCH($A53,$C$21:$C$29,0))),"n/a")</f>
        <v/>
      </c>
      <c r="R53" s="69">
        <f>COUNTIFS(Data_MeetingScheduled!$C$2:$C$200,$A53,Data_MeetingScheduled!$D$2:$D$200,$B53)</f>
        <v/>
      </c>
      <c r="S53" s="72">
        <f>IFERROR($R53/Data_MeetingScheduled!$J$2,"n/a")</f>
        <v/>
      </c>
      <c r="T53" s="69" t="n">
        <v>15324</v>
      </c>
      <c r="U53" s="73">
        <f>IFERROR($T53/$J53,"n/a")</f>
        <v/>
      </c>
      <c r="V53" s="72">
        <f>IFERROR($T53/$J53,"n/a")</f>
        <v/>
      </c>
      <c r="W53" s="69">
        <f>COUNTIFS(Data_CRM!$B$2:$B$1694,$A53,Data_CRM!$C$2:$C$1694,$B53)</f>
        <v/>
      </c>
      <c r="X53" s="69">
        <f>COUNTIFS(Data_CRM!$B$2:$B$1694,$A53,Data_CRM!$C$2:$C$1694,$B53,Data_CRM!$F$2:$F$1694,1)</f>
        <v/>
      </c>
      <c r="Y53" s="70">
        <f>IFERROR($I53/$X53,"n/a")</f>
        <v/>
      </c>
      <c r="Z53" s="72">
        <f>IFERROR(IF($W53=0,"n/a",$X53/$W53),"n/a")</f>
        <v/>
      </c>
    </row>
    <row r="54" ht="14.25" customHeight="1" s="54">
      <c r="A54" s="75" t="inlineStr">
        <is>
          <t>Subtotal — Andromeda_CBO_Signature Store_FICO_Daewoo_SO</t>
        </is>
      </c>
      <c r="B54" s="94" t="n"/>
      <c r="C54" s="74" t="n"/>
      <c r="D54" s="76">
        <f>SUM(D52:D53)</f>
        <v/>
      </c>
      <c r="E54" s="74" t="n"/>
      <c r="F54" s="77">
        <f>IFERROR($I54/$D54,"n/a")</f>
        <v/>
      </c>
      <c r="G54" s="74" t="n"/>
      <c r="H54" s="74" t="n"/>
      <c r="I54" s="78">
        <f>SUM(I52:I53)</f>
        <v/>
      </c>
      <c r="J54" s="76">
        <f>SUM(J52:J53)</f>
        <v/>
      </c>
      <c r="K54" s="76">
        <f>SUM(K52:K53)</f>
        <v/>
      </c>
      <c r="L54" s="74" t="n"/>
      <c r="M54" s="74" t="n"/>
      <c r="N54" s="74" t="n"/>
      <c r="O54" s="74" t="n"/>
      <c r="P54" s="79">
        <f>SUM(P52:P53)</f>
        <v/>
      </c>
      <c r="Q54" s="74" t="n"/>
      <c r="R54" s="76">
        <f>SUM(R52:R53)</f>
        <v/>
      </c>
      <c r="S54" s="79">
        <f>IFERROR($R54/Data_MeetingScheduled!$J$2,"n/a")</f>
        <v/>
      </c>
      <c r="T54" s="76">
        <f>SUM(T52:T53)</f>
        <v/>
      </c>
      <c r="U54" s="80">
        <f>IFERROR($T54/$J54,"n/a")</f>
        <v/>
      </c>
      <c r="V54" s="79">
        <f>IFERROR($T54/$J54,"n/a")</f>
        <v/>
      </c>
      <c r="W54" s="76">
        <f>SUM(W52:W53)</f>
        <v/>
      </c>
      <c r="X54" s="76">
        <f>SUM(X52:X53)</f>
        <v/>
      </c>
      <c r="Y54" s="77">
        <f>IFERROR($I54/$X54,"n/a")</f>
        <v/>
      </c>
      <c r="Z54" s="79">
        <f>IFERROR(IF($W54=0,"n/a",$X54/$W54),"n/a")</f>
        <v/>
      </c>
    </row>
    <row r="55" ht="14.25" customHeight="1" s="54">
      <c r="A55" s="93" t="inlineStr">
        <is>
          <t>META_CustomData_MOFU_STOCKIST_Leadgen</t>
        </is>
      </c>
      <c r="B55" s="68" t="inlineStr">
        <is>
          <t>Client Custom Data_Stockist</t>
        </is>
      </c>
      <c r="C55" s="67" t="inlineStr">
        <is>
          <t>active</t>
        </is>
      </c>
      <c r="D55" s="69" t="n">
        <v>15</v>
      </c>
      <c r="E55" s="67" t="inlineStr">
        <is>
          <t>actions:leadgen.other</t>
        </is>
      </c>
      <c r="F55" s="70">
        <f>IFERROR($I55/$D55,"n/a")</f>
        <v/>
      </c>
      <c r="G55" s="67" t="inlineStr">
        <is>
          <t>Using campaign budget</t>
        </is>
      </c>
      <c r="H55" s="67" t="n">
        <v>0</v>
      </c>
      <c r="I55" s="71" t="n">
        <v>7962.14</v>
      </c>
      <c r="J55" s="69" t="n">
        <v>6301</v>
      </c>
      <c r="K55" s="69" t="n">
        <v>2549</v>
      </c>
      <c r="L55" s="67" t="inlineStr">
        <is>
          <t>Ongoing</t>
        </is>
      </c>
      <c r="M55" s="67" t="inlineStr">
        <is>
          <t>2026-03-11</t>
        </is>
      </c>
      <c r="N55" s="67" t="inlineStr">
        <is>
          <t>7-day click or 1-day view</t>
        </is>
      </c>
      <c r="O55" s="67" t="inlineStr">
        <is>
          <t>ABSOLUTE_OCPM</t>
        </is>
      </c>
      <c r="P55" s="72">
        <f>IFERROR($I55/INDEX($J$21:$J$29,MATCH($A55,$C$21:$C$29,0)),"n/a")</f>
        <v/>
      </c>
      <c r="Q55" s="72">
        <f>IFERROR(IF(INDEX($E$21:$E$29,MATCH($A55,$C$21:$C$29,0))="","n/a",$D55/INDEX($E$21:$E$29,MATCH($A55,$C$21:$C$29,0))),"n/a")</f>
        <v/>
      </c>
      <c r="R55" s="69">
        <f>COUNTIFS(Data_MeetingScheduled!$C$2:$C$200,$A55,Data_MeetingScheduled!$D$2:$D$200,$B55)</f>
        <v/>
      </c>
      <c r="S55" s="72">
        <f>IFERROR($R55/Data_MeetingScheduled!$J$2,"n/a")</f>
        <v/>
      </c>
      <c r="T55" s="69" t="n">
        <v>60</v>
      </c>
      <c r="U55" s="73">
        <f>IFERROR($T55/$J55,"n/a")</f>
        <v/>
      </c>
      <c r="V55" s="72">
        <f>IFERROR($T55/$J55,"n/a")</f>
        <v/>
      </c>
      <c r="W55" s="69">
        <f>COUNTIFS(Data_CRM!$B$2:$B$1694,$A55,Data_CRM!$C$2:$C$1694,$B55)</f>
        <v/>
      </c>
      <c r="X55" s="69">
        <f>COUNTIFS(Data_CRM!$B$2:$B$1694,$A55,Data_CRM!$C$2:$C$1694,$B55,Data_CRM!$F$2:$F$1694,1)</f>
        <v/>
      </c>
      <c r="Y55" s="70">
        <f>IFERROR($I55/$X55,"n/a")</f>
        <v/>
      </c>
      <c r="Z55" s="72">
        <f>IFERROR(IF($W55=0,"n/a",$X55/$W55),"n/a")</f>
        <v/>
      </c>
    </row>
    <row r="56" ht="14.25" customHeight="1" s="54">
      <c r="A56" s="93" t="inlineStr">
        <is>
          <t>META_CustomData_MOFU_STOCKIST_Leadgen</t>
        </is>
      </c>
      <c r="B56" s="68" t="inlineStr">
        <is>
          <t>LAL_1%_Client Data_Stockist</t>
        </is>
      </c>
      <c r="C56" s="67" t="inlineStr">
        <is>
          <t>active</t>
        </is>
      </c>
      <c r="D56" s="69" t="n">
        <v>330</v>
      </c>
      <c r="E56" s="67" t="inlineStr">
        <is>
          <t>actions:leadgen.other</t>
        </is>
      </c>
      <c r="F56" s="70">
        <f>IFERROR($I56/$D56,"n/a")</f>
        <v/>
      </c>
      <c r="G56" s="67" t="inlineStr">
        <is>
          <t>Using campaign budget</t>
        </is>
      </c>
      <c r="H56" s="67" t="n">
        <v>0</v>
      </c>
      <c r="I56" s="71" t="n">
        <v>330784.95</v>
      </c>
      <c r="J56" s="69" t="n">
        <v>856408</v>
      </c>
      <c r="K56" s="69" t="n">
        <v>366715</v>
      </c>
      <c r="L56" s="67" t="inlineStr">
        <is>
          <t>Ongoing</t>
        </is>
      </c>
      <c r="M56" s="67" t="inlineStr">
        <is>
          <t>2026-03-12</t>
        </is>
      </c>
      <c r="N56" s="67" t="inlineStr">
        <is>
          <t>7-day click or 1-day view</t>
        </is>
      </c>
      <c r="O56" s="67" t="inlineStr">
        <is>
          <t>ABSOLUTE_OCPM</t>
        </is>
      </c>
      <c r="P56" s="72">
        <f>IFERROR($I56/INDEX($J$21:$J$29,MATCH($A56,$C$21:$C$29,0)),"n/a")</f>
        <v/>
      </c>
      <c r="Q56" s="72">
        <f>IFERROR(IF(INDEX($E$21:$E$29,MATCH($A56,$C$21:$C$29,0))="","n/a",$D56/INDEX($E$21:$E$29,MATCH($A56,$C$21:$C$29,0))),"n/a")</f>
        <v/>
      </c>
      <c r="R56" s="69">
        <f>COUNTIFS(Data_MeetingScheduled!$C$2:$C$200,$A56,Data_MeetingScheduled!$D$2:$D$200,$B56)</f>
        <v/>
      </c>
      <c r="S56" s="72">
        <f>IFERROR($R56/Data_MeetingScheduled!$J$2,"n/a")</f>
        <v/>
      </c>
      <c r="T56" s="69" t="n">
        <v>5006</v>
      </c>
      <c r="U56" s="73">
        <f>IFERROR($T56/$J56,"n/a")</f>
        <v/>
      </c>
      <c r="V56" s="72">
        <f>IFERROR($T56/$J56,"n/a")</f>
        <v/>
      </c>
      <c r="W56" s="69">
        <f>COUNTIFS(Data_CRM!$B$2:$B$1694,$A56,Data_CRM!$C$2:$C$1694,$B56)</f>
        <v/>
      </c>
      <c r="X56" s="69">
        <f>COUNTIFS(Data_CRM!$B$2:$B$1694,$A56,Data_CRM!$C$2:$C$1694,$B56,Data_CRM!$F$2:$F$1694,1)</f>
        <v/>
      </c>
      <c r="Y56" s="70">
        <f>IFERROR($I56/$X56,"n/a")</f>
        <v/>
      </c>
      <c r="Z56" s="72">
        <f>IFERROR(IF($W56=0,"n/a",$X56/$W56),"n/a")</f>
        <v/>
      </c>
    </row>
    <row r="57" ht="14.25" customHeight="1" s="54">
      <c r="A57" s="75" t="inlineStr">
        <is>
          <t>Subtotal — META_CustomData_MOFU_STOCKIST_Leadgen</t>
        </is>
      </c>
      <c r="B57" s="94" t="n"/>
      <c r="C57" s="74" t="n"/>
      <c r="D57" s="76">
        <f>SUM(D55:D56)</f>
        <v/>
      </c>
      <c r="E57" s="74" t="n"/>
      <c r="F57" s="77">
        <f>IFERROR($I57/$D57,"n/a")</f>
        <v/>
      </c>
      <c r="G57" s="74" t="n"/>
      <c r="H57" s="74" t="n"/>
      <c r="I57" s="78">
        <f>SUM(I55:I56)</f>
        <v/>
      </c>
      <c r="J57" s="76">
        <f>SUM(J55:J56)</f>
        <v/>
      </c>
      <c r="K57" s="76">
        <f>SUM(K55:K56)</f>
        <v/>
      </c>
      <c r="L57" s="74" t="n"/>
      <c r="M57" s="74" t="n"/>
      <c r="N57" s="74" t="n"/>
      <c r="O57" s="74" t="n"/>
      <c r="P57" s="79">
        <f>SUM(P55:P56)</f>
        <v/>
      </c>
      <c r="Q57" s="74" t="n"/>
      <c r="R57" s="76">
        <f>SUM(R55:R56)</f>
        <v/>
      </c>
      <c r="S57" s="79">
        <f>IFERROR($R57/Data_MeetingScheduled!$J$2,"n/a")</f>
        <v/>
      </c>
      <c r="T57" s="76">
        <f>SUM(T55:T56)</f>
        <v/>
      </c>
      <c r="U57" s="80">
        <f>IFERROR($T57/$J57,"n/a")</f>
        <v/>
      </c>
      <c r="V57" s="79">
        <f>IFERROR($T57/$J57,"n/a")</f>
        <v/>
      </c>
      <c r="W57" s="76">
        <f>SUM(W55:W56)</f>
        <v/>
      </c>
      <c r="X57" s="76">
        <f>SUM(X55:X56)</f>
        <v/>
      </c>
      <c r="Y57" s="77">
        <f>IFERROR($I57/$X57,"n/a")</f>
        <v/>
      </c>
      <c r="Z57" s="79">
        <f>IFERROR(IF($W57=0,"n/a",$X57/$W57),"n/a")</f>
        <v/>
      </c>
    </row>
    <row r="58" ht="14.25" customHeight="1" s="54">
      <c r="A58" s="93" t="inlineStr">
        <is>
          <t>Andromeda_ABO_Stockist_Daewoo_SO</t>
        </is>
      </c>
      <c r="B58" s="68" t="inlineStr">
        <is>
          <t>Business Interest</t>
        </is>
      </c>
      <c r="C58" s="67" t="inlineStr">
        <is>
          <t>inactive</t>
        </is>
      </c>
      <c r="D58" s="69" t="n">
        <v>0</v>
      </c>
      <c r="E58" s="67" t="n"/>
      <c r="F58" s="70">
        <f>IFERROR($I58/$D58,"n/a")</f>
        <v/>
      </c>
      <c r="G58" s="67" t="n">
        <v>10014.36</v>
      </c>
      <c r="H58" s="67" t="inlineStr">
        <is>
          <t>Daily</t>
        </is>
      </c>
      <c r="I58" s="71" t="n">
        <v>0</v>
      </c>
      <c r="J58" s="69" t="n">
        <v>0</v>
      </c>
      <c r="K58" s="69" t="n">
        <v>0</v>
      </c>
      <c r="L58" s="67" t="inlineStr">
        <is>
          <t>Ongoing</t>
        </is>
      </c>
      <c r="M58" s="67" t="inlineStr">
        <is>
          <t>2026-03-26</t>
        </is>
      </c>
      <c r="N58" s="67" t="inlineStr">
        <is>
          <t>-</t>
        </is>
      </c>
      <c r="O58" s="67" t="inlineStr">
        <is>
          <t>ABSOLUTE_OCPM</t>
        </is>
      </c>
      <c r="P58" s="72">
        <f>IFERROR($I58/INDEX($J$21:$J$29,MATCH($A58,$C$21:$C$29,0)),"n/a")</f>
        <v/>
      </c>
      <c r="Q58" s="72">
        <f>IFERROR(IF(INDEX($E$21:$E$29,MATCH($A58,$C$21:$C$29,0))="","n/a",$D58/INDEX($E$21:$E$29,MATCH($A58,$C$21:$C$29,0))),"n/a")</f>
        <v/>
      </c>
      <c r="R58" s="69">
        <f>COUNTIFS(Data_MeetingScheduled!$C$2:$C$200,$A58,Data_MeetingScheduled!$D$2:$D$200,$B58)</f>
        <v/>
      </c>
      <c r="S58" s="72">
        <f>IFERROR($R58/Data_MeetingScheduled!$J$2,"n/a")</f>
        <v/>
      </c>
      <c r="T58" s="69" t="n">
        <v>0</v>
      </c>
      <c r="U58" s="73">
        <f>IFERROR($T58/$J58,"n/a")</f>
        <v/>
      </c>
      <c r="V58" s="72">
        <f>IFERROR($T58/$J58,"n/a")</f>
        <v/>
      </c>
      <c r="W58" s="69">
        <f>COUNTIFS(Data_CRM!$B$2:$B$1694,$A58,Data_CRM!$C$2:$C$1694,$B58)</f>
        <v/>
      </c>
      <c r="X58" s="69">
        <f>COUNTIFS(Data_CRM!$B$2:$B$1694,$A58,Data_CRM!$C$2:$C$1694,$B58,Data_CRM!$F$2:$F$1694,1)</f>
        <v/>
      </c>
      <c r="Y58" s="70">
        <f>IFERROR($I58/$X58,"n/a")</f>
        <v/>
      </c>
      <c r="Z58" s="72">
        <f>IFERROR(IF($W58=0,"n/a",$X58/$W58),"n/a")</f>
        <v/>
      </c>
    </row>
    <row r="59" ht="14.25" customHeight="1" s="54">
      <c r="A59" s="93" t="inlineStr">
        <is>
          <t>Andromeda_ABO_Stockist_Daewoo_SO</t>
        </is>
      </c>
      <c r="B59" s="68" t="inlineStr">
        <is>
          <t>New Stockist Audience Owners</t>
        </is>
      </c>
      <c r="C59" s="67" t="inlineStr">
        <is>
          <t>not_delivering</t>
        </is>
      </c>
      <c r="D59" s="69" t="n">
        <v>0</v>
      </c>
      <c r="E59" s="67" t="n"/>
      <c r="F59" s="70">
        <f>IFERROR($I59/$D59,"n/a")</f>
        <v/>
      </c>
      <c r="G59" s="67" t="n">
        <v>2157.6</v>
      </c>
      <c r="H59" s="67" t="inlineStr">
        <is>
          <t>Daily</t>
        </is>
      </c>
      <c r="I59" s="71" t="n">
        <v>0</v>
      </c>
      <c r="J59" s="69" t="n">
        <v>0</v>
      </c>
      <c r="K59" s="69" t="n">
        <v>0</v>
      </c>
      <c r="L59" s="67" t="inlineStr">
        <is>
          <t>Ongoing</t>
        </is>
      </c>
      <c r="M59" s="67" t="inlineStr">
        <is>
          <t>2026-06-04</t>
        </is>
      </c>
      <c r="N59" s="67" t="inlineStr">
        <is>
          <t>-</t>
        </is>
      </c>
      <c r="O59" s="67" t="inlineStr">
        <is>
          <t>ABSOLUTE_OCPM</t>
        </is>
      </c>
      <c r="P59" s="72">
        <f>IFERROR($I59/INDEX($J$21:$J$29,MATCH($A59,$C$21:$C$29,0)),"n/a")</f>
        <v/>
      </c>
      <c r="Q59" s="72">
        <f>IFERROR(IF(INDEX($E$21:$E$29,MATCH($A59,$C$21:$C$29,0))="","n/a",$D59/INDEX($E$21:$E$29,MATCH($A59,$C$21:$C$29,0))),"n/a")</f>
        <v/>
      </c>
      <c r="R59" s="69">
        <f>COUNTIFS(Data_MeetingScheduled!$C$2:$C$200,$A59,Data_MeetingScheduled!$D$2:$D$200,$B59)</f>
        <v/>
      </c>
      <c r="S59" s="72">
        <f>IFERROR($R59/Data_MeetingScheduled!$J$2,"n/a")</f>
        <v/>
      </c>
      <c r="T59" s="69" t="n">
        <v>0</v>
      </c>
      <c r="U59" s="73">
        <f>IFERROR($T59/$J59,"n/a")</f>
        <v/>
      </c>
      <c r="V59" s="72">
        <f>IFERROR($T59/$J59,"n/a")</f>
        <v/>
      </c>
      <c r="W59" s="69">
        <f>COUNTIFS(Data_CRM!$B$2:$B$1694,$A59,Data_CRM!$C$2:$C$1694,$B59)</f>
        <v/>
      </c>
      <c r="X59" s="69">
        <f>COUNTIFS(Data_CRM!$B$2:$B$1694,$A59,Data_CRM!$C$2:$C$1694,$B59,Data_CRM!$F$2:$F$1694,1)</f>
        <v/>
      </c>
      <c r="Y59" s="70">
        <f>IFERROR($I59/$X59,"n/a")</f>
        <v/>
      </c>
      <c r="Z59" s="72">
        <f>IFERROR(IF($W59=0,"n/a",$X59/$W59),"n/a")</f>
        <v/>
      </c>
    </row>
    <row r="60" ht="14.25" customHeight="1" s="54">
      <c r="A60" s="93" t="inlineStr">
        <is>
          <t>Andromeda_ABO_Stockist_Daewoo_SO</t>
        </is>
      </c>
      <c r="B60" s="68" t="inlineStr">
        <is>
          <t>Stockists_High_Income_and_Premium_Interest_SO</t>
        </is>
      </c>
      <c r="C60" s="67" t="inlineStr">
        <is>
          <t>inactive</t>
        </is>
      </c>
      <c r="D60" s="69" t="n">
        <v>0</v>
      </c>
      <c r="E60" s="67" t="n"/>
      <c r="F60" s="70">
        <f>IFERROR($I60/$D60,"n/a")</f>
        <v/>
      </c>
      <c r="G60" s="67" t="n">
        <v>10014.36</v>
      </c>
      <c r="H60" s="67" t="inlineStr">
        <is>
          <t>Daily</t>
        </is>
      </c>
      <c r="I60" s="71" t="n">
        <v>0</v>
      </c>
      <c r="J60" s="69" t="n">
        <v>0</v>
      </c>
      <c r="K60" s="69" t="n">
        <v>0</v>
      </c>
      <c r="L60" s="67" t="inlineStr">
        <is>
          <t>Ongoing</t>
        </is>
      </c>
      <c r="M60" s="67" t="inlineStr">
        <is>
          <t>2026-03-26</t>
        </is>
      </c>
      <c r="N60" s="67" t="inlineStr">
        <is>
          <t>-</t>
        </is>
      </c>
      <c r="O60" s="67" t="inlineStr">
        <is>
          <t>ABSOLUTE_OCPM</t>
        </is>
      </c>
      <c r="P60" s="72">
        <f>IFERROR($I60/INDEX($J$21:$J$29,MATCH($A60,$C$21:$C$29,0)),"n/a")</f>
        <v/>
      </c>
      <c r="Q60" s="72">
        <f>IFERROR(IF(INDEX($E$21:$E$29,MATCH($A60,$C$21:$C$29,0))="","n/a",$D60/INDEX($E$21:$E$29,MATCH($A60,$C$21:$C$29,0))),"n/a")</f>
        <v/>
      </c>
      <c r="R60" s="69">
        <f>COUNTIFS(Data_MeetingScheduled!$C$2:$C$200,$A60,Data_MeetingScheduled!$D$2:$D$200,$B60)</f>
        <v/>
      </c>
      <c r="S60" s="72">
        <f>IFERROR($R60/Data_MeetingScheduled!$J$2,"n/a")</f>
        <v/>
      </c>
      <c r="T60" s="69" t="n">
        <v>0</v>
      </c>
      <c r="U60" s="73">
        <f>IFERROR($T60/$J60,"n/a")</f>
        <v/>
      </c>
      <c r="V60" s="72">
        <f>IFERROR($T60/$J60,"n/a")</f>
        <v/>
      </c>
      <c r="W60" s="69">
        <f>COUNTIFS(Data_CRM!$B$2:$B$1694,$A60,Data_CRM!$C$2:$C$1694,$B60)</f>
        <v/>
      </c>
      <c r="X60" s="69">
        <f>COUNTIFS(Data_CRM!$B$2:$B$1694,$A60,Data_CRM!$C$2:$C$1694,$B60,Data_CRM!$F$2:$F$1694,1)</f>
        <v/>
      </c>
      <c r="Y60" s="70">
        <f>IFERROR($I60/$X60,"n/a")</f>
        <v/>
      </c>
      <c r="Z60" s="72">
        <f>IFERROR(IF($W60=0,"n/a",$X60/$W60),"n/a")</f>
        <v/>
      </c>
    </row>
    <row r="61" ht="14.25" customHeight="1" s="54">
      <c r="A61" s="75" t="inlineStr">
        <is>
          <t>Subtotal — Andromeda_ABO_Stockist_Daewoo_SO</t>
        </is>
      </c>
      <c r="B61" s="94" t="n"/>
      <c r="C61" s="74" t="n"/>
      <c r="D61" s="76">
        <f>SUM(D58:D60)</f>
        <v/>
      </c>
      <c r="E61" s="74" t="n"/>
      <c r="F61" s="77">
        <f>IFERROR($I61/$D61,"n/a")</f>
        <v/>
      </c>
      <c r="G61" s="74" t="n"/>
      <c r="H61" s="74" t="n"/>
      <c r="I61" s="78">
        <f>SUM(I58:I60)</f>
        <v/>
      </c>
      <c r="J61" s="76">
        <f>SUM(J58:J60)</f>
        <v/>
      </c>
      <c r="K61" s="76">
        <f>SUM(K58:K60)</f>
        <v/>
      </c>
      <c r="L61" s="74" t="n"/>
      <c r="M61" s="74" t="n"/>
      <c r="N61" s="74" t="n"/>
      <c r="O61" s="74" t="n"/>
      <c r="P61" s="79">
        <f>SUM(P58:P60)</f>
        <v/>
      </c>
      <c r="Q61" s="74" t="n"/>
      <c r="R61" s="76">
        <f>SUM(R58:R60)</f>
        <v/>
      </c>
      <c r="S61" s="79">
        <f>IFERROR($R61/Data_MeetingScheduled!$J$2,"n/a")</f>
        <v/>
      </c>
      <c r="T61" s="76">
        <f>SUM(T58:T60)</f>
        <v/>
      </c>
      <c r="U61" s="80">
        <f>IFERROR($T61/$J61,"n/a")</f>
        <v/>
      </c>
      <c r="V61" s="79">
        <f>IFERROR($T61/$J61,"n/a")</f>
        <v/>
      </c>
      <c r="W61" s="76">
        <f>SUM(W58:W60)</f>
        <v/>
      </c>
      <c r="X61" s="76">
        <f>SUM(X58:X60)</f>
        <v/>
      </c>
      <c r="Y61" s="77">
        <f>IFERROR($I61/$X61,"n/a")</f>
        <v/>
      </c>
      <c r="Z61" s="79">
        <f>IFERROR(IF($W61=0,"n/a",$X61/$W61),"n/a")</f>
        <v/>
      </c>
    </row>
    <row r="62" ht="14.25" customHeight="1" s="54">
      <c r="A62" s="93" t="inlineStr">
        <is>
          <t>Andromeda_CBO__DDP_Daewoo_SO</t>
        </is>
      </c>
      <c r="B62" s="68" t="inlineStr">
        <is>
          <t>Business Interest DDP Partnerships</t>
        </is>
      </c>
      <c r="C62" s="67" t="inlineStr">
        <is>
          <t>inactive</t>
        </is>
      </c>
      <c r="D62" s="69" t="n">
        <v>0</v>
      </c>
      <c r="E62" s="67" t="n"/>
      <c r="F62" s="70">
        <f>IFERROR($I62/$D62,"n/a")</f>
        <v/>
      </c>
      <c r="G62" s="67" t="inlineStr">
        <is>
          <t>Using campaign budget</t>
        </is>
      </c>
      <c r="H62" s="67" t="n">
        <v>0</v>
      </c>
      <c r="I62" s="71" t="n">
        <v>0</v>
      </c>
      <c r="J62" s="69" t="n">
        <v>0</v>
      </c>
      <c r="K62" s="69" t="n">
        <v>0</v>
      </c>
      <c r="L62" s="67" t="inlineStr">
        <is>
          <t>Ongoing</t>
        </is>
      </c>
      <c r="M62" s="67" t="inlineStr">
        <is>
          <t>2026-05-08</t>
        </is>
      </c>
      <c r="N62" s="67" t="inlineStr">
        <is>
          <t>-</t>
        </is>
      </c>
      <c r="O62" s="67" t="inlineStr">
        <is>
          <t>ABSOLUTE_OCPM</t>
        </is>
      </c>
      <c r="P62" s="72">
        <f>IFERROR($I62/INDEX($J$21:$J$29,MATCH($A62,$C$21:$C$29,0)),"n/a")</f>
        <v/>
      </c>
      <c r="Q62" s="72">
        <f>IFERROR(IF(INDEX($E$21:$E$29,MATCH($A62,$C$21:$C$29,0))="","n/a",$D62/INDEX($E$21:$E$29,MATCH($A62,$C$21:$C$29,0))),"n/a")</f>
        <v/>
      </c>
      <c r="R62" s="69">
        <f>COUNTIFS(Data_MeetingScheduled!$C$2:$C$200,$A62,Data_MeetingScheduled!$D$2:$D$200,$B62)</f>
        <v/>
      </c>
      <c r="S62" s="72">
        <f>IFERROR($R62/Data_MeetingScheduled!$J$2,"n/a")</f>
        <v/>
      </c>
      <c r="T62" s="69" t="n">
        <v>0</v>
      </c>
      <c r="U62" s="73">
        <f>IFERROR($T62/$J62,"n/a")</f>
        <v/>
      </c>
      <c r="V62" s="72">
        <f>IFERROR($T62/$J62,"n/a")</f>
        <v/>
      </c>
      <c r="W62" s="69">
        <f>COUNTIFS(Data_CRM!$B$2:$B$1694,$A62,Data_CRM!$C$2:$C$1694,$B62)</f>
        <v/>
      </c>
      <c r="X62" s="69">
        <f>COUNTIFS(Data_CRM!$B$2:$B$1694,$A62,Data_CRM!$C$2:$C$1694,$B62,Data_CRM!$F$2:$F$1694,1)</f>
        <v/>
      </c>
      <c r="Y62" s="70">
        <f>IFERROR($I62/$X62,"n/a")</f>
        <v/>
      </c>
      <c r="Z62" s="72">
        <f>IFERROR(IF($W62=0,"n/a",$X62/$W62),"n/a")</f>
        <v/>
      </c>
    </row>
    <row r="63" ht="14.25" customHeight="1" s="54">
      <c r="A63" s="75" t="inlineStr">
        <is>
          <t>Subtotal — Andromeda_CBO__DDP_Daewoo_SO</t>
        </is>
      </c>
      <c r="B63" s="94" t="n"/>
      <c r="C63" s="74" t="n"/>
      <c r="D63" s="76">
        <f>SUM(D62:D62)</f>
        <v/>
      </c>
      <c r="E63" s="74" t="n"/>
      <c r="F63" s="77">
        <f>IFERROR($I63/$D63,"n/a")</f>
        <v/>
      </c>
      <c r="G63" s="74" t="n"/>
      <c r="H63" s="74" t="n"/>
      <c r="I63" s="78">
        <f>SUM(I62:I62)</f>
        <v/>
      </c>
      <c r="J63" s="76">
        <f>SUM(J62:J62)</f>
        <v/>
      </c>
      <c r="K63" s="76">
        <f>SUM(K62:K62)</f>
        <v/>
      </c>
      <c r="L63" s="74" t="n"/>
      <c r="M63" s="74" t="n"/>
      <c r="N63" s="74" t="n"/>
      <c r="O63" s="74" t="n"/>
      <c r="P63" s="79">
        <f>SUM(P62:P62)</f>
        <v/>
      </c>
      <c r="Q63" s="74" t="n"/>
      <c r="R63" s="76">
        <f>SUM(R62:R62)</f>
        <v/>
      </c>
      <c r="S63" s="79">
        <f>IFERROR($R63/Data_MeetingScheduled!$J$2,"n/a")</f>
        <v/>
      </c>
      <c r="T63" s="76">
        <f>SUM(T62:T62)</f>
        <v/>
      </c>
      <c r="U63" s="80">
        <f>IFERROR($T63/$J63,"n/a")</f>
        <v/>
      </c>
      <c r="V63" s="79">
        <f>IFERROR($T63/$J63,"n/a")</f>
        <v/>
      </c>
      <c r="W63" s="76">
        <f>SUM(W62:W62)</f>
        <v/>
      </c>
      <c r="X63" s="76">
        <f>SUM(X62:X62)</f>
        <v/>
      </c>
      <c r="Y63" s="77">
        <f>IFERROR($I63/$X63,"n/a")</f>
        <v/>
      </c>
      <c r="Z63" s="79">
        <f>IFERROR(IF($W63=0,"n/a",$X63/$W63),"n/a")</f>
        <v/>
      </c>
    </row>
    <row r="64" ht="14.25" customHeight="1" s="54">
      <c r="A64" s="93" t="inlineStr">
        <is>
          <t>META_CustomData_MOFU_Leadgen – DDP</t>
        </is>
      </c>
      <c r="B64" s="68" t="inlineStr">
        <is>
          <t>Business Interest DDP Partnerships</t>
        </is>
      </c>
      <c r="C64" s="67" t="inlineStr">
        <is>
          <t>not_delivering</t>
        </is>
      </c>
      <c r="D64" s="69" t="n">
        <v>0</v>
      </c>
      <c r="E64" s="67" t="n"/>
      <c r="F64" s="70">
        <f>IFERROR($I64/$D64,"n/a")</f>
        <v/>
      </c>
      <c r="G64" s="67" t="inlineStr">
        <is>
          <t>Using campaign budget</t>
        </is>
      </c>
      <c r="H64" s="67" t="n">
        <v>0</v>
      </c>
      <c r="I64" s="71" t="n">
        <v>0</v>
      </c>
      <c r="J64" s="69" t="n">
        <v>0</v>
      </c>
      <c r="K64" s="69" t="n">
        <v>0</v>
      </c>
      <c r="L64" s="67" t="inlineStr">
        <is>
          <t>Ongoing</t>
        </is>
      </c>
      <c r="M64" s="67" t="inlineStr">
        <is>
          <t>2026-05-21</t>
        </is>
      </c>
      <c r="N64" s="67" t="inlineStr">
        <is>
          <t>-</t>
        </is>
      </c>
      <c r="O64" s="67" t="inlineStr">
        <is>
          <t>ABSOLUTE_OCPM</t>
        </is>
      </c>
      <c r="P64" s="72">
        <f>IFERROR($I64/INDEX($J$21:$J$29,MATCH($A64,$C$21:$C$29,0)),"n/a")</f>
        <v/>
      </c>
      <c r="Q64" s="72">
        <f>IFERROR(IF(INDEX($E$21:$E$29,MATCH($A64,$C$21:$C$29,0))="","n/a",$D64/INDEX($E$21:$E$29,MATCH($A64,$C$21:$C$29,0))),"n/a")</f>
        <v/>
      </c>
      <c r="R64" s="69">
        <f>COUNTIFS(Data_MeetingScheduled!$C$2:$C$200,$A64,Data_MeetingScheduled!$D$2:$D$200,$B64)</f>
        <v/>
      </c>
      <c r="S64" s="72">
        <f>IFERROR($R64/Data_MeetingScheduled!$J$2,"n/a")</f>
        <v/>
      </c>
      <c r="T64" s="69" t="n">
        <v>0</v>
      </c>
      <c r="U64" s="73">
        <f>IFERROR($T64/$J64,"n/a")</f>
        <v/>
      </c>
      <c r="V64" s="72">
        <f>IFERROR($T64/$J64,"n/a")</f>
        <v/>
      </c>
      <c r="W64" s="69">
        <f>COUNTIFS(Data_CRM!$B$2:$B$1694,$A64,Data_CRM!$C$2:$C$1694,$B64)</f>
        <v/>
      </c>
      <c r="X64" s="69">
        <f>COUNTIFS(Data_CRM!$B$2:$B$1694,$A64,Data_CRM!$C$2:$C$1694,$B64,Data_CRM!$F$2:$F$1694,1)</f>
        <v/>
      </c>
      <c r="Y64" s="70">
        <f>IFERROR($I64/$X64,"n/a")</f>
        <v/>
      </c>
      <c r="Z64" s="72">
        <f>IFERROR(IF($W64=0,"n/a",$X64/$W64),"n/a")</f>
        <v/>
      </c>
    </row>
    <row r="65" ht="14.25" customHeight="1" s="54">
      <c r="A65" s="93" t="inlineStr">
        <is>
          <t>META_CustomData_MOFU_Leadgen – DDP</t>
        </is>
      </c>
      <c r="B65" s="68" t="inlineStr">
        <is>
          <t>Client Custom Data_DDP</t>
        </is>
      </c>
      <c r="C65" s="67" t="inlineStr">
        <is>
          <t>not_delivering</t>
        </is>
      </c>
      <c r="D65" s="69" t="n">
        <v>0</v>
      </c>
      <c r="E65" s="67" t="n"/>
      <c r="F65" s="70">
        <f>IFERROR($I65/$D65,"n/a")</f>
        <v/>
      </c>
      <c r="G65" s="67" t="inlineStr">
        <is>
          <t>Using campaign budget</t>
        </is>
      </c>
      <c r="H65" s="67" t="n">
        <v>0</v>
      </c>
      <c r="I65" s="71" t="n">
        <v>0</v>
      </c>
      <c r="J65" s="69" t="n">
        <v>0</v>
      </c>
      <c r="K65" s="69" t="n">
        <v>0</v>
      </c>
      <c r="L65" s="67" t="inlineStr">
        <is>
          <t>Ongoing</t>
        </is>
      </c>
      <c r="M65" s="67" t="inlineStr">
        <is>
          <t>2026-05-21</t>
        </is>
      </c>
      <c r="N65" s="67" t="inlineStr">
        <is>
          <t>-</t>
        </is>
      </c>
      <c r="O65" s="67" t="inlineStr">
        <is>
          <t>ABSOLUTE_OCPM</t>
        </is>
      </c>
      <c r="P65" s="72">
        <f>IFERROR($I65/INDEX($J$21:$J$29,MATCH($A65,$C$21:$C$29,0)),"n/a")</f>
        <v/>
      </c>
      <c r="Q65" s="72">
        <f>IFERROR(IF(INDEX($E$21:$E$29,MATCH($A65,$C$21:$C$29,0))="","n/a",$D65/INDEX($E$21:$E$29,MATCH($A65,$C$21:$C$29,0))),"n/a")</f>
        <v/>
      </c>
      <c r="R65" s="69">
        <f>COUNTIFS(Data_MeetingScheduled!$C$2:$C$200,$A65,Data_MeetingScheduled!$D$2:$D$200,$B65)</f>
        <v/>
      </c>
      <c r="S65" s="72">
        <f>IFERROR($R65/Data_MeetingScheduled!$J$2,"n/a")</f>
        <v/>
      </c>
      <c r="T65" s="69" t="n">
        <v>0</v>
      </c>
      <c r="U65" s="73">
        <f>IFERROR($T65/$J65,"n/a")</f>
        <v/>
      </c>
      <c r="V65" s="72">
        <f>IFERROR($T65/$J65,"n/a")</f>
        <v/>
      </c>
      <c r="W65" s="69">
        <f>COUNTIFS(Data_CRM!$B$2:$B$1694,$A65,Data_CRM!$C$2:$C$1694,$B65)</f>
        <v/>
      </c>
      <c r="X65" s="69">
        <f>COUNTIFS(Data_CRM!$B$2:$B$1694,$A65,Data_CRM!$C$2:$C$1694,$B65,Data_CRM!$F$2:$F$1694,1)</f>
        <v/>
      </c>
      <c r="Y65" s="70">
        <f>IFERROR($I65/$X65,"n/a")</f>
        <v/>
      </c>
      <c r="Z65" s="72">
        <f>IFERROR(IF($W65=0,"n/a",$X65/$W65),"n/a")</f>
        <v/>
      </c>
    </row>
    <row r="66" ht="14.25" customHeight="1" s="54">
      <c r="A66" s="93" t="inlineStr">
        <is>
          <t>META_CustomData_MOFU_Leadgen – DDP</t>
        </is>
      </c>
      <c r="B66" s="68" t="inlineStr">
        <is>
          <t>LAL_1%_Client Data_DDP</t>
        </is>
      </c>
      <c r="C66" s="67" t="inlineStr">
        <is>
          <t>not_delivering</t>
        </is>
      </c>
      <c r="D66" s="69" t="n">
        <v>0</v>
      </c>
      <c r="E66" s="67" t="n"/>
      <c r="F66" s="70">
        <f>IFERROR($I66/$D66,"n/a")</f>
        <v/>
      </c>
      <c r="G66" s="67" t="inlineStr">
        <is>
          <t>Using campaign budget</t>
        </is>
      </c>
      <c r="H66" s="67" t="n">
        <v>0</v>
      </c>
      <c r="I66" s="71" t="n">
        <v>0</v>
      </c>
      <c r="J66" s="69" t="n">
        <v>0</v>
      </c>
      <c r="K66" s="69" t="n">
        <v>0</v>
      </c>
      <c r="L66" s="67" t="inlineStr">
        <is>
          <t>Ongoing</t>
        </is>
      </c>
      <c r="M66" s="67" t="inlineStr">
        <is>
          <t>2026-05-21</t>
        </is>
      </c>
      <c r="N66" s="67" t="inlineStr">
        <is>
          <t>-</t>
        </is>
      </c>
      <c r="O66" s="67" t="inlineStr">
        <is>
          <t>ABSOLUTE_OCPM</t>
        </is>
      </c>
      <c r="P66" s="72">
        <f>IFERROR($I66/INDEX($J$21:$J$29,MATCH($A66,$C$21:$C$29,0)),"n/a")</f>
        <v/>
      </c>
      <c r="Q66" s="72">
        <f>IFERROR(IF(INDEX($E$21:$E$29,MATCH($A66,$C$21:$C$29,0))="","n/a",$D66/INDEX($E$21:$E$29,MATCH($A66,$C$21:$C$29,0))),"n/a")</f>
        <v/>
      </c>
      <c r="R66" s="69">
        <f>COUNTIFS(Data_MeetingScheduled!$C$2:$C$200,$A66,Data_MeetingScheduled!$D$2:$D$200,$B66)</f>
        <v/>
      </c>
      <c r="S66" s="72">
        <f>IFERROR($R66/Data_MeetingScheduled!$J$2,"n/a")</f>
        <v/>
      </c>
      <c r="T66" s="69" t="n">
        <v>0</v>
      </c>
      <c r="U66" s="73">
        <f>IFERROR($T66/$J66,"n/a")</f>
        <v/>
      </c>
      <c r="V66" s="72">
        <f>IFERROR($T66/$J66,"n/a")</f>
        <v/>
      </c>
      <c r="W66" s="69">
        <f>COUNTIFS(Data_CRM!$B$2:$B$1694,$A66,Data_CRM!$C$2:$C$1694,$B66)</f>
        <v/>
      </c>
      <c r="X66" s="69">
        <f>COUNTIFS(Data_CRM!$B$2:$B$1694,$A66,Data_CRM!$C$2:$C$1694,$B66,Data_CRM!$F$2:$F$1694,1)</f>
        <v/>
      </c>
      <c r="Y66" s="70">
        <f>IFERROR($I66/$X66,"n/a")</f>
        <v/>
      </c>
      <c r="Z66" s="72">
        <f>IFERROR(IF($W66=0,"n/a",$X66/$W66),"n/a")</f>
        <v/>
      </c>
    </row>
    <row r="67" ht="14.25" customHeight="1" s="54">
      <c r="A67" s="75" t="inlineStr">
        <is>
          <t>Subtotal — META_CustomData_MOFU_Leadgen – DDP</t>
        </is>
      </c>
      <c r="B67" s="94" t="n"/>
      <c r="C67" s="74" t="n"/>
      <c r="D67" s="76">
        <f>SUM(D64:D66)</f>
        <v/>
      </c>
      <c r="E67" s="74" t="n"/>
      <c r="F67" s="77">
        <f>IFERROR($I67/$D67,"n/a")</f>
        <v/>
      </c>
      <c r="G67" s="74" t="n"/>
      <c r="H67" s="74" t="n"/>
      <c r="I67" s="78">
        <f>SUM(I64:I66)</f>
        <v/>
      </c>
      <c r="J67" s="76">
        <f>SUM(J64:J66)</f>
        <v/>
      </c>
      <c r="K67" s="76">
        <f>SUM(K64:K66)</f>
        <v/>
      </c>
      <c r="L67" s="74" t="n"/>
      <c r="M67" s="74" t="n"/>
      <c r="N67" s="74" t="n"/>
      <c r="O67" s="74" t="n"/>
      <c r="P67" s="79">
        <f>SUM(P64:P66)</f>
        <v/>
      </c>
      <c r="Q67" s="74" t="n"/>
      <c r="R67" s="76">
        <f>SUM(R64:R66)</f>
        <v/>
      </c>
      <c r="S67" s="79">
        <f>IFERROR($R67/Data_MeetingScheduled!$J$2,"n/a")</f>
        <v/>
      </c>
      <c r="T67" s="76">
        <f>SUM(T64:T66)</f>
        <v/>
      </c>
      <c r="U67" s="80">
        <f>IFERROR($T67/$J67,"n/a")</f>
        <v/>
      </c>
      <c r="V67" s="79">
        <f>IFERROR($T67/$J67,"n/a")</f>
        <v/>
      </c>
      <c r="W67" s="76">
        <f>SUM(W64:W66)</f>
        <v/>
      </c>
      <c r="X67" s="76">
        <f>SUM(X64:X66)</f>
        <v/>
      </c>
      <c r="Y67" s="77">
        <f>IFERROR($I67/$X67,"n/a")</f>
        <v/>
      </c>
      <c r="Z67" s="79">
        <f>IFERROR(IF($W67=0,"n/a",$X67/$W67),"n/a")</f>
        <v/>
      </c>
    </row>
    <row r="68" ht="14.25" customHeight="1" s="54">
      <c r="A68" s="93" t="inlineStr">
        <is>
          <t>META_CustomData_MOFU_Leadgen – Signature FICO</t>
        </is>
      </c>
      <c r="B68" s="68" t="inlineStr">
        <is>
          <t>Client Custom Data_Signature Store FICO</t>
        </is>
      </c>
      <c r="C68" s="67" t="inlineStr">
        <is>
          <t>inactive</t>
        </is>
      </c>
      <c r="D68" s="69" t="n">
        <v>0</v>
      </c>
      <c r="E68" s="67" t="n"/>
      <c r="F68" s="70">
        <f>IFERROR($I68/$D68,"n/a")</f>
        <v/>
      </c>
      <c r="G68" s="67" t="inlineStr">
        <is>
          <t>Using campaign budget</t>
        </is>
      </c>
      <c r="H68" s="67" t="n">
        <v>0</v>
      </c>
      <c r="I68" s="71" t="n">
        <v>0</v>
      </c>
      <c r="J68" s="69" t="n">
        <v>0</v>
      </c>
      <c r="K68" s="69" t="n">
        <v>0</v>
      </c>
      <c r="L68" s="67" t="inlineStr">
        <is>
          <t>Ongoing</t>
        </is>
      </c>
      <c r="M68" s="67" t="inlineStr">
        <is>
          <t>2026-05-21</t>
        </is>
      </c>
      <c r="N68" s="67" t="inlineStr">
        <is>
          <t>-</t>
        </is>
      </c>
      <c r="O68" s="67" t="inlineStr">
        <is>
          <t>ABSOLUTE_OCPM</t>
        </is>
      </c>
      <c r="P68" s="72">
        <f>IFERROR($I68/INDEX($J$21:$J$29,MATCH($A68,$C$21:$C$29,0)),"n/a")</f>
        <v/>
      </c>
      <c r="Q68" s="72">
        <f>IFERROR(IF(INDEX($E$21:$E$29,MATCH($A68,$C$21:$C$29,0))="","n/a",$D68/INDEX($E$21:$E$29,MATCH($A68,$C$21:$C$29,0))),"n/a")</f>
        <v/>
      </c>
      <c r="R68" s="69">
        <f>COUNTIFS(Data_MeetingScheduled!$C$2:$C$200,$A68,Data_MeetingScheduled!$D$2:$D$200,$B68)</f>
        <v/>
      </c>
      <c r="S68" s="72">
        <f>IFERROR($R68/Data_MeetingScheduled!$J$2,"n/a")</f>
        <v/>
      </c>
      <c r="T68" s="69" t="n">
        <v>0</v>
      </c>
      <c r="U68" s="73">
        <f>IFERROR($T68/$J68,"n/a")</f>
        <v/>
      </c>
      <c r="V68" s="72">
        <f>IFERROR($T68/$J68,"n/a")</f>
        <v/>
      </c>
      <c r="W68" s="69">
        <f>COUNTIFS(Data_CRM!$B$2:$B$1694,$A68,Data_CRM!$C$2:$C$1694,$B68)</f>
        <v/>
      </c>
      <c r="X68" s="69">
        <f>COUNTIFS(Data_CRM!$B$2:$B$1694,$A68,Data_CRM!$C$2:$C$1694,$B68,Data_CRM!$F$2:$F$1694,1)</f>
        <v/>
      </c>
      <c r="Y68" s="70">
        <f>IFERROR($I68/$X68,"n/a")</f>
        <v/>
      </c>
      <c r="Z68" s="72">
        <f>IFERROR(IF($W68=0,"n/a",$X68/$W68),"n/a")</f>
        <v/>
      </c>
    </row>
    <row r="69" ht="14.25" customHeight="1" s="54">
      <c r="A69" s="93" t="inlineStr">
        <is>
          <t>META_CustomData_MOFU_Leadgen – Signature FICO</t>
        </is>
      </c>
      <c r="B69" s="68" t="inlineStr">
        <is>
          <t>LAL_1%_Client Data_Signature Store FICO</t>
        </is>
      </c>
      <c r="C69" s="67" t="inlineStr">
        <is>
          <t>active</t>
        </is>
      </c>
      <c r="D69" s="69" t="n">
        <v>141</v>
      </c>
      <c r="E69" s="67" t="inlineStr">
        <is>
          <t>actions:leadgen.other</t>
        </is>
      </c>
      <c r="F69" s="70">
        <f>IFERROR($I69/$D69,"n/a")</f>
        <v/>
      </c>
      <c r="G69" s="67" t="inlineStr">
        <is>
          <t>Using campaign budget</t>
        </is>
      </c>
      <c r="H69" s="67" t="n">
        <v>0</v>
      </c>
      <c r="I69" s="71" t="n">
        <v>194123.34</v>
      </c>
      <c r="J69" s="69" t="n">
        <v>390794</v>
      </c>
      <c r="K69" s="69" t="n">
        <v>221625</v>
      </c>
      <c r="L69" s="67" t="inlineStr">
        <is>
          <t>Ongoing</t>
        </is>
      </c>
      <c r="M69" s="67" t="inlineStr">
        <is>
          <t>2026-05-21</t>
        </is>
      </c>
      <c r="N69" s="67" t="inlineStr">
        <is>
          <t>7-day click or 1-day view</t>
        </is>
      </c>
      <c r="O69" s="67" t="inlineStr">
        <is>
          <t>ABSOLUTE_OCPM</t>
        </is>
      </c>
      <c r="P69" s="72">
        <f>IFERROR($I69/INDEX($J$21:$J$29,MATCH($A69,$C$21:$C$29,0)),"n/a")</f>
        <v/>
      </c>
      <c r="Q69" s="72">
        <f>IFERROR(IF(INDEX($E$21:$E$29,MATCH($A69,$C$21:$C$29,0))="","n/a",$D69/INDEX($E$21:$E$29,MATCH($A69,$C$21:$C$29,0))),"n/a")</f>
        <v/>
      </c>
      <c r="R69" s="69">
        <f>COUNTIFS(Data_MeetingScheduled!$C$2:$C$200,$A69,Data_MeetingScheduled!$D$2:$D$200,$B69)</f>
        <v/>
      </c>
      <c r="S69" s="72">
        <f>IFERROR($R69/Data_MeetingScheduled!$J$2,"n/a")</f>
        <v/>
      </c>
      <c r="T69" s="69" t="n">
        <v>2781</v>
      </c>
      <c r="U69" s="73">
        <f>IFERROR($T69/$J69,"n/a")</f>
        <v/>
      </c>
      <c r="V69" s="72">
        <f>IFERROR($T69/$J69,"n/a")</f>
        <v/>
      </c>
      <c r="W69" s="69">
        <f>COUNTIFS(Data_CRM!$B$2:$B$1694,$A69,Data_CRM!$C$2:$C$1694,$B69)</f>
        <v/>
      </c>
      <c r="X69" s="69">
        <f>COUNTIFS(Data_CRM!$B$2:$B$1694,$A69,Data_CRM!$C$2:$C$1694,$B69,Data_CRM!$F$2:$F$1694,1)</f>
        <v/>
      </c>
      <c r="Y69" s="70">
        <f>IFERROR($I69/$X69,"n/a")</f>
        <v/>
      </c>
      <c r="Z69" s="72">
        <f>IFERROR(IF($W69=0,"n/a",$X69/$W69),"n/a")</f>
        <v/>
      </c>
    </row>
    <row r="70" ht="14.25" customHeight="1" s="54">
      <c r="A70" s="75" t="inlineStr">
        <is>
          <t>Subtotal — META_CustomData_MOFU_Leadgen – Signature FICO</t>
        </is>
      </c>
      <c r="B70" s="94" t="n"/>
      <c r="C70" s="74" t="n"/>
      <c r="D70" s="76">
        <f>SUM(D68:D69)</f>
        <v/>
      </c>
      <c r="E70" s="74" t="n"/>
      <c r="F70" s="77">
        <f>IFERROR($I70/$D70,"n/a")</f>
        <v/>
      </c>
      <c r="G70" s="74" t="n"/>
      <c r="H70" s="74" t="n"/>
      <c r="I70" s="78">
        <f>SUM(I68:I69)</f>
        <v/>
      </c>
      <c r="J70" s="76">
        <f>SUM(J68:J69)</f>
        <v/>
      </c>
      <c r="K70" s="76">
        <f>SUM(K68:K69)</f>
        <v/>
      </c>
      <c r="L70" s="74" t="n"/>
      <c r="M70" s="74" t="n"/>
      <c r="N70" s="74" t="n"/>
      <c r="O70" s="74" t="n"/>
      <c r="P70" s="79">
        <f>SUM(P68:P69)</f>
        <v/>
      </c>
      <c r="Q70" s="74" t="n"/>
      <c r="R70" s="76">
        <f>SUM(R68:R69)</f>
        <v/>
      </c>
      <c r="S70" s="79">
        <f>IFERROR($R70/Data_MeetingScheduled!$J$2,"n/a")</f>
        <v/>
      </c>
      <c r="T70" s="76">
        <f>SUM(T68:T69)</f>
        <v/>
      </c>
      <c r="U70" s="80">
        <f>IFERROR($T70/$J70,"n/a")</f>
        <v/>
      </c>
      <c r="V70" s="79">
        <f>IFERROR($T70/$J70,"n/a")</f>
        <v/>
      </c>
      <c r="W70" s="76">
        <f>SUM(W68:W69)</f>
        <v/>
      </c>
      <c r="X70" s="76">
        <f>SUM(X68:X69)</f>
        <v/>
      </c>
      <c r="Y70" s="77">
        <f>IFERROR($I70/$X70,"n/a")</f>
        <v/>
      </c>
      <c r="Z70" s="79">
        <f>IFERROR(IF($W70=0,"n/a",$X70/$W70),"n/a")</f>
        <v/>
      </c>
    </row>
    <row r="71" ht="14.25" customHeight="1" s="54">
      <c r="A71" s="93" t="inlineStr">
        <is>
          <t>META_RMKT_Engage_ABO_SO</t>
        </is>
      </c>
      <c r="B71" s="68" t="inlineStr">
        <is>
          <t>CRM_Engagements_Positive</t>
        </is>
      </c>
      <c r="C71" s="67" t="inlineStr">
        <is>
          <t>active</t>
        </is>
      </c>
      <c r="D71" s="69" t="n">
        <v>5</v>
      </c>
      <c r="E71" s="67" t="inlineStr">
        <is>
          <t>total_profile_visits</t>
        </is>
      </c>
      <c r="F71" s="70">
        <f>IFERROR($I71/$D71,"n/a")</f>
        <v/>
      </c>
      <c r="G71" s="67" t="n">
        <v>100</v>
      </c>
      <c r="H71" s="67" t="inlineStr">
        <is>
          <t>Daily</t>
        </is>
      </c>
      <c r="I71" s="71" t="n">
        <v>1618.94</v>
      </c>
      <c r="J71" s="69" t="n">
        <v>1767</v>
      </c>
      <c r="K71" s="69" t="n">
        <v>104</v>
      </c>
      <c r="L71" s="67" t="inlineStr">
        <is>
          <t>Ongoing</t>
        </is>
      </c>
      <c r="M71" s="67" t="inlineStr">
        <is>
          <t>2026-06-22</t>
        </is>
      </c>
      <c r="N71" s="67" t="inlineStr">
        <is>
          <t>1-day click</t>
        </is>
      </c>
      <c r="O71" s="67" t="inlineStr">
        <is>
          <t>ABSOLUTE_OCPM</t>
        </is>
      </c>
      <c r="P71" s="72">
        <f>IFERROR($I71/INDEX($J$21:$J$29,MATCH($A71,$C$21:$C$29,0)),"n/a")</f>
        <v/>
      </c>
      <c r="Q71" s="72">
        <f>IFERROR(IF(INDEX($E$21:$E$29,MATCH($A71,$C$21:$C$29,0))="","n/a",$D71/INDEX($E$21:$E$29,MATCH($A71,$C$21:$C$29,0))),"n/a")</f>
        <v/>
      </c>
      <c r="R71" s="69">
        <f>COUNTIFS(Data_MeetingScheduled!$C$2:$C$200,$A71,Data_MeetingScheduled!$D$2:$D$200,$B71)</f>
        <v/>
      </c>
      <c r="S71" s="72">
        <f>IFERROR($R71/Data_MeetingScheduled!$J$2,"n/a")</f>
        <v/>
      </c>
      <c r="T71" s="69" t="n">
        <v>5</v>
      </c>
      <c r="U71" s="73">
        <f>IFERROR($T71/$J71,"n/a")</f>
        <v/>
      </c>
      <c r="V71" s="72">
        <f>IFERROR($T71/$J71,"n/a")</f>
        <v/>
      </c>
      <c r="W71" s="69">
        <f>COUNTIFS(Data_CRM!$B$2:$B$1694,$A71,Data_CRM!$C$2:$C$1694,$B71)</f>
        <v/>
      </c>
      <c r="X71" s="69">
        <f>COUNTIFS(Data_CRM!$B$2:$B$1694,$A71,Data_CRM!$C$2:$C$1694,$B71,Data_CRM!$F$2:$F$1694,1)</f>
        <v/>
      </c>
      <c r="Y71" s="70">
        <f>IFERROR($I71/$X71,"n/a")</f>
        <v/>
      </c>
      <c r="Z71" s="72">
        <f>IFERROR(IF($W71=0,"n/a",$X71/$W71),"n/a")</f>
        <v/>
      </c>
    </row>
    <row r="72" ht="14.25" customHeight="1" s="54">
      <c r="A72" s="93" t="inlineStr">
        <is>
          <t>META_RMKT_Engage_ABO_SO</t>
        </is>
      </c>
      <c r="B72" s="68" t="inlineStr">
        <is>
          <t>FB Page Engagements</t>
        </is>
      </c>
      <c r="C72" s="67" t="inlineStr">
        <is>
          <t>active</t>
        </is>
      </c>
      <c r="D72" s="69" t="n">
        <v>59</v>
      </c>
      <c r="E72" s="67" t="inlineStr">
        <is>
          <t>page_visit_view</t>
        </is>
      </c>
      <c r="F72" s="70">
        <f>IFERROR($I72/$D72,"n/a")</f>
        <v/>
      </c>
      <c r="G72" s="67" t="n">
        <v>100</v>
      </c>
      <c r="H72" s="67" t="inlineStr">
        <is>
          <t>Daily</t>
        </is>
      </c>
      <c r="I72" s="71" t="n">
        <v>2793.17</v>
      </c>
      <c r="J72" s="69" t="n">
        <v>10146</v>
      </c>
      <c r="K72" s="69" t="n">
        <v>1442</v>
      </c>
      <c r="L72" s="67" t="inlineStr">
        <is>
          <t>Ongoing</t>
        </is>
      </c>
      <c r="M72" s="67" t="inlineStr">
        <is>
          <t>2026-05-31</t>
        </is>
      </c>
      <c r="N72" s="67" t="inlineStr">
        <is>
          <t>1-day click</t>
        </is>
      </c>
      <c r="O72" s="67" t="inlineStr">
        <is>
          <t>ABSOLUTE_OCPM</t>
        </is>
      </c>
      <c r="P72" s="72">
        <f>IFERROR($I72/INDEX($J$21:$J$29,MATCH($A72,$C$21:$C$29,0)),"n/a")</f>
        <v/>
      </c>
      <c r="Q72" s="72">
        <f>IFERROR(IF(INDEX($E$21:$E$29,MATCH($A72,$C$21:$C$29,0))="","n/a",$D72/INDEX($E$21:$E$29,MATCH($A72,$C$21:$C$29,0))),"n/a")</f>
        <v/>
      </c>
      <c r="R72" s="69">
        <f>COUNTIFS(Data_MeetingScheduled!$C$2:$C$200,$A72,Data_MeetingScheduled!$D$2:$D$200,$B72)</f>
        <v/>
      </c>
      <c r="S72" s="72">
        <f>IFERROR($R72/Data_MeetingScheduled!$J$2,"n/a")</f>
        <v/>
      </c>
      <c r="T72" s="69" t="n">
        <v>31</v>
      </c>
      <c r="U72" s="73">
        <f>IFERROR($T72/$J72,"n/a")</f>
        <v/>
      </c>
      <c r="V72" s="72">
        <f>IFERROR($T72/$J72,"n/a")</f>
        <v/>
      </c>
      <c r="W72" s="69">
        <f>COUNTIFS(Data_CRM!$B$2:$B$1694,$A72,Data_CRM!$C$2:$C$1694,$B72)</f>
        <v/>
      </c>
      <c r="X72" s="69">
        <f>COUNTIFS(Data_CRM!$B$2:$B$1694,$A72,Data_CRM!$C$2:$C$1694,$B72,Data_CRM!$F$2:$F$1694,1)</f>
        <v/>
      </c>
      <c r="Y72" s="70">
        <f>IFERROR($I72/$X72,"n/a")</f>
        <v/>
      </c>
      <c r="Z72" s="72">
        <f>IFERROR(IF($W72=0,"n/a",$X72/$W72),"n/a")</f>
        <v/>
      </c>
    </row>
    <row r="73" ht="14.25" customHeight="1" s="54">
      <c r="A73" s="93" t="inlineStr">
        <is>
          <t>META_RMKT_Engage_ABO_SO</t>
        </is>
      </c>
      <c r="B73" s="68" t="inlineStr">
        <is>
          <t>IG Page Engagements</t>
        </is>
      </c>
      <c r="C73" s="67" t="inlineStr">
        <is>
          <t>active</t>
        </is>
      </c>
      <c r="D73" s="69" t="n">
        <v>49</v>
      </c>
      <c r="E73" s="67" t="inlineStr">
        <is>
          <t>profile_visit_view</t>
        </is>
      </c>
      <c r="F73" s="70">
        <f>IFERROR($I73/$D73,"n/a")</f>
        <v/>
      </c>
      <c r="G73" s="67" t="n">
        <v>100</v>
      </c>
      <c r="H73" s="67" t="inlineStr">
        <is>
          <t>Daily</t>
        </is>
      </c>
      <c r="I73" s="71" t="n">
        <v>2801.24</v>
      </c>
      <c r="J73" s="69" t="n">
        <v>7539</v>
      </c>
      <c r="K73" s="69" t="n">
        <v>1185</v>
      </c>
      <c r="L73" s="67" t="inlineStr">
        <is>
          <t>Ongoing</t>
        </is>
      </c>
      <c r="M73" s="67" t="inlineStr">
        <is>
          <t>2026-05-31</t>
        </is>
      </c>
      <c r="N73" s="67" t="inlineStr">
        <is>
          <t>1-day click</t>
        </is>
      </c>
      <c r="O73" s="67" t="inlineStr">
        <is>
          <t>ABSOLUTE_OCPM</t>
        </is>
      </c>
      <c r="P73" s="72">
        <f>IFERROR($I73/INDEX($J$21:$J$29,MATCH($A73,$C$21:$C$29,0)),"n/a")</f>
        <v/>
      </c>
      <c r="Q73" s="72">
        <f>IFERROR(IF(INDEX($E$21:$E$29,MATCH($A73,$C$21:$C$29,0))="","n/a",$D73/INDEX($E$21:$E$29,MATCH($A73,$C$21:$C$29,0))),"n/a")</f>
        <v/>
      </c>
      <c r="R73" s="69">
        <f>COUNTIFS(Data_MeetingScheduled!$C$2:$C$200,$A73,Data_MeetingScheduled!$D$2:$D$200,$B73)</f>
        <v/>
      </c>
      <c r="S73" s="72">
        <f>IFERROR($R73/Data_MeetingScheduled!$J$2,"n/a")</f>
        <v/>
      </c>
      <c r="T73" s="69" t="n">
        <v>48</v>
      </c>
      <c r="U73" s="73">
        <f>IFERROR($T73/$J73,"n/a")</f>
        <v/>
      </c>
      <c r="V73" s="72">
        <f>IFERROR($T73/$J73,"n/a")</f>
        <v/>
      </c>
      <c r="W73" s="69">
        <f>COUNTIFS(Data_CRM!$B$2:$B$1694,$A73,Data_CRM!$C$2:$C$1694,$B73)</f>
        <v/>
      </c>
      <c r="X73" s="69">
        <f>COUNTIFS(Data_CRM!$B$2:$B$1694,$A73,Data_CRM!$C$2:$C$1694,$B73,Data_CRM!$F$2:$F$1694,1)</f>
        <v/>
      </c>
      <c r="Y73" s="70">
        <f>IFERROR($I73/$X73,"n/a")</f>
        <v/>
      </c>
      <c r="Z73" s="72">
        <f>IFERROR(IF($W73=0,"n/a",$X73/$W73),"n/a")</f>
        <v/>
      </c>
    </row>
    <row r="74" ht="14.25" customHeight="1" s="54">
      <c r="A74" s="75" t="inlineStr">
        <is>
          <t>Subtotal — META_RMKT_Engage_ABO_SO</t>
        </is>
      </c>
      <c r="B74" s="94" t="n"/>
      <c r="C74" s="74" t="n"/>
      <c r="D74" s="76">
        <f>SUM(D71:D73)</f>
        <v/>
      </c>
      <c r="E74" s="74" t="n"/>
      <c r="F74" s="77">
        <f>IFERROR($I74/$D74,"n/a")</f>
        <v/>
      </c>
      <c r="G74" s="74" t="n"/>
      <c r="H74" s="74" t="n"/>
      <c r="I74" s="78">
        <f>SUM(I71:I73)</f>
        <v/>
      </c>
      <c r="J74" s="76">
        <f>SUM(J71:J73)</f>
        <v/>
      </c>
      <c r="K74" s="76">
        <f>SUM(K71:K73)</f>
        <v/>
      </c>
      <c r="L74" s="74" t="n"/>
      <c r="M74" s="74" t="n"/>
      <c r="N74" s="74" t="n"/>
      <c r="O74" s="74" t="n"/>
      <c r="P74" s="79">
        <f>SUM(P71:P73)</f>
        <v/>
      </c>
      <c r="Q74" s="74" t="n"/>
      <c r="R74" s="76">
        <f>SUM(R71:R73)</f>
        <v/>
      </c>
      <c r="S74" s="79">
        <f>IFERROR($R74/Data_MeetingScheduled!$J$2,"n/a")</f>
        <v/>
      </c>
      <c r="T74" s="76">
        <f>SUM(T71:T73)</f>
        <v/>
      </c>
      <c r="U74" s="80">
        <f>IFERROR($T74/$J74,"n/a")</f>
        <v/>
      </c>
      <c r="V74" s="79">
        <f>IFERROR($T74/$J74,"n/a")</f>
        <v/>
      </c>
      <c r="W74" s="76">
        <f>SUM(W71:W73)</f>
        <v/>
      </c>
      <c r="X74" s="76">
        <f>SUM(X71:X73)</f>
        <v/>
      </c>
      <c r="Y74" s="77">
        <f>IFERROR($I74/$X74,"n/a")</f>
        <v/>
      </c>
      <c r="Z74" s="79">
        <f>IFERROR(IF($W74=0,"n/a",$X74/$W74),"n/a")</f>
        <v/>
      </c>
    </row>
    <row r="75" ht="14.25" customHeight="1" s="54">
      <c r="A75" s="93" t="inlineStr">
        <is>
          <t>META_RMKT_Socials Pages_CBO_SO</t>
        </is>
      </c>
      <c r="B75" s="68" t="inlineStr">
        <is>
          <t>Socials Pages FB_ABO – Stockist</t>
        </is>
      </c>
      <c r="C75" s="67" t="inlineStr">
        <is>
          <t>inactive</t>
        </is>
      </c>
      <c r="D75" s="69" t="n">
        <v>0</v>
      </c>
      <c r="E75" s="67" t="n"/>
      <c r="F75" s="70">
        <f>IFERROR($I75/$D75,"n/a")</f>
        <v/>
      </c>
      <c r="G75" s="67" t="n">
        <v>200</v>
      </c>
      <c r="H75" s="67" t="inlineStr">
        <is>
          <t>Daily</t>
        </is>
      </c>
      <c r="I75" s="71" t="n">
        <v>0</v>
      </c>
      <c r="J75" s="69" t="n">
        <v>0</v>
      </c>
      <c r="K75" s="69" t="n">
        <v>0</v>
      </c>
      <c r="L75" s="67" t="inlineStr">
        <is>
          <t>Ongoing</t>
        </is>
      </c>
      <c r="M75" s="67" t="inlineStr">
        <is>
          <t>2026-05-22</t>
        </is>
      </c>
      <c r="N75" s="67" t="inlineStr">
        <is>
          <t>-</t>
        </is>
      </c>
      <c r="O75" s="67" t="inlineStr">
        <is>
          <t>ABSOLUTE_OCPM</t>
        </is>
      </c>
      <c r="P75" s="72">
        <f>IFERROR($I75/INDEX($J$21:$J$29,MATCH($A75,$C$21:$C$29,0)),"n/a")</f>
        <v/>
      </c>
      <c r="Q75" s="72">
        <f>IFERROR(IF(INDEX($E$21:$E$29,MATCH($A75,$C$21:$C$29,0))="","n/a",$D75/INDEX($E$21:$E$29,MATCH($A75,$C$21:$C$29,0))),"n/a")</f>
        <v/>
      </c>
      <c r="R75" s="69">
        <f>COUNTIFS(Data_MeetingScheduled!$C$2:$C$200,$A75,Data_MeetingScheduled!$D$2:$D$200,$B75)</f>
        <v/>
      </c>
      <c r="S75" s="72">
        <f>IFERROR($R75/Data_MeetingScheduled!$J$2,"n/a")</f>
        <v/>
      </c>
      <c r="T75" s="69" t="n">
        <v>0</v>
      </c>
      <c r="U75" s="73">
        <f>IFERROR($T75/$J75,"n/a")</f>
        <v/>
      </c>
      <c r="V75" s="72">
        <f>IFERROR($T75/$J75,"n/a")</f>
        <v/>
      </c>
      <c r="W75" s="69">
        <f>COUNTIFS(Data_CRM!$B$2:$B$1694,$A75,Data_CRM!$C$2:$C$1694,$B75)</f>
        <v/>
      </c>
      <c r="X75" s="69">
        <f>COUNTIFS(Data_CRM!$B$2:$B$1694,$A75,Data_CRM!$C$2:$C$1694,$B75,Data_CRM!$F$2:$F$1694,1)</f>
        <v/>
      </c>
      <c r="Y75" s="70">
        <f>IFERROR($I75/$X75,"n/a")</f>
        <v/>
      </c>
      <c r="Z75" s="72">
        <f>IFERROR(IF($W75=0,"n/a",$X75/$W75),"n/a")</f>
        <v/>
      </c>
    </row>
    <row r="76" ht="14.25" customHeight="1" s="54">
      <c r="A76" s="93" t="inlineStr">
        <is>
          <t>META_RMKT_Socials Pages_CBO_SO</t>
        </is>
      </c>
      <c r="B76" s="68" t="inlineStr">
        <is>
          <t>Socials Pages IG_ABO – Stockist</t>
        </is>
      </c>
      <c r="C76" s="67" t="inlineStr">
        <is>
          <t>inactive</t>
        </is>
      </c>
      <c r="D76" s="69" t="n">
        <v>0</v>
      </c>
      <c r="E76" s="67" t="n"/>
      <c r="F76" s="70">
        <f>IFERROR($I76/$D76,"n/a")</f>
        <v/>
      </c>
      <c r="G76" s="67" t="n">
        <v>200</v>
      </c>
      <c r="H76" s="67" t="inlineStr">
        <is>
          <t>Daily</t>
        </is>
      </c>
      <c r="I76" s="71" t="n">
        <v>0</v>
      </c>
      <c r="J76" s="69" t="n">
        <v>0</v>
      </c>
      <c r="K76" s="69" t="n">
        <v>0</v>
      </c>
      <c r="L76" s="67" t="inlineStr">
        <is>
          <t>Ongoing</t>
        </is>
      </c>
      <c r="M76" s="67" t="inlineStr">
        <is>
          <t>2026-05-22</t>
        </is>
      </c>
      <c r="N76" s="67" t="inlineStr">
        <is>
          <t>-</t>
        </is>
      </c>
      <c r="O76" s="67" t="inlineStr">
        <is>
          <t>ABSOLUTE_OCPM</t>
        </is>
      </c>
      <c r="P76" s="72">
        <f>IFERROR($I76/INDEX($J$21:$J$29,MATCH($A76,$C$21:$C$29,0)),"n/a")</f>
        <v/>
      </c>
      <c r="Q76" s="72">
        <f>IFERROR(IF(INDEX($E$21:$E$29,MATCH($A76,$C$21:$C$29,0))="","n/a",$D76/INDEX($E$21:$E$29,MATCH($A76,$C$21:$C$29,0))),"n/a")</f>
        <v/>
      </c>
      <c r="R76" s="69">
        <f>COUNTIFS(Data_MeetingScheduled!$C$2:$C$200,$A76,Data_MeetingScheduled!$D$2:$D$200,$B76)</f>
        <v/>
      </c>
      <c r="S76" s="72">
        <f>IFERROR($R76/Data_MeetingScheduled!$J$2,"n/a")</f>
        <v/>
      </c>
      <c r="T76" s="69" t="n">
        <v>0</v>
      </c>
      <c r="U76" s="73">
        <f>IFERROR($T76/$J76,"n/a")</f>
        <v/>
      </c>
      <c r="V76" s="72">
        <f>IFERROR($T76/$J76,"n/a")</f>
        <v/>
      </c>
      <c r="W76" s="69">
        <f>COUNTIFS(Data_CRM!$B$2:$B$1694,$A76,Data_CRM!$C$2:$C$1694,$B76)</f>
        <v/>
      </c>
      <c r="X76" s="69">
        <f>COUNTIFS(Data_CRM!$B$2:$B$1694,$A76,Data_CRM!$C$2:$C$1694,$B76,Data_CRM!$F$2:$F$1694,1)</f>
        <v/>
      </c>
      <c r="Y76" s="70">
        <f>IFERROR($I76/$X76,"n/a")</f>
        <v/>
      </c>
      <c r="Z76" s="72">
        <f>IFERROR(IF($W76=0,"n/a",$X76/$W76),"n/a")</f>
        <v/>
      </c>
    </row>
    <row r="77" ht="14.25" customHeight="1" s="54">
      <c r="A77" s="93" t="inlineStr">
        <is>
          <t>META_RMKT_Socials Pages_CBO_SO</t>
        </is>
      </c>
      <c r="B77" s="68" t="inlineStr">
        <is>
          <t>Socials Pages_SO</t>
        </is>
      </c>
      <c r="C77" s="67" t="inlineStr">
        <is>
          <t>active</t>
        </is>
      </c>
      <c r="D77" s="69" t="n">
        <v>6</v>
      </c>
      <c r="E77" s="67" t="inlineStr">
        <is>
          <t>actions:leadgen.other</t>
        </is>
      </c>
      <c r="F77" s="70">
        <f>IFERROR($I77/$D77,"n/a")</f>
        <v/>
      </c>
      <c r="G77" s="67" t="inlineStr">
        <is>
          <t>Using campaign budget</t>
        </is>
      </c>
      <c r="H77" s="67" t="n">
        <v>0</v>
      </c>
      <c r="I77" s="71" t="n">
        <v>2821.62</v>
      </c>
      <c r="J77" s="69" t="n">
        <v>10131</v>
      </c>
      <c r="K77" s="69" t="n">
        <v>4306</v>
      </c>
      <c r="L77" s="67" t="inlineStr">
        <is>
          <t>Ongoing</t>
        </is>
      </c>
      <c r="M77" s="67" t="inlineStr">
        <is>
          <t>2026-06-04</t>
        </is>
      </c>
      <c r="N77" s="67" t="inlineStr">
        <is>
          <t>7-day click or 1-day view</t>
        </is>
      </c>
      <c r="O77" s="67" t="inlineStr">
        <is>
          <t>ABSOLUTE_OCPM</t>
        </is>
      </c>
      <c r="P77" s="72">
        <f>IFERROR($I77/INDEX($J$21:$J$29,MATCH($A77,$C$21:$C$29,0)),"n/a")</f>
        <v/>
      </c>
      <c r="Q77" s="72">
        <f>IFERROR(IF(INDEX($E$21:$E$29,MATCH($A77,$C$21:$C$29,0))="","n/a",$D77/INDEX($E$21:$E$29,MATCH($A77,$C$21:$C$29,0))),"n/a")</f>
        <v/>
      </c>
      <c r="R77" s="69">
        <f>COUNTIFS(Data_MeetingScheduled!$C$2:$C$200,$A77,Data_MeetingScheduled!$D$2:$D$200,$B77)</f>
        <v/>
      </c>
      <c r="S77" s="72">
        <f>IFERROR($R77/Data_MeetingScheduled!$J$2,"n/a")</f>
        <v/>
      </c>
      <c r="T77" s="69" t="n">
        <v>116</v>
      </c>
      <c r="U77" s="73">
        <f>IFERROR($T77/$J77,"n/a")</f>
        <v/>
      </c>
      <c r="V77" s="72">
        <f>IFERROR($T77/$J77,"n/a")</f>
        <v/>
      </c>
      <c r="W77" s="69">
        <f>COUNTIFS(Data_CRM!$B$2:$B$1694,$A77,Data_CRM!$C$2:$C$1694,$B77)</f>
        <v/>
      </c>
      <c r="X77" s="69">
        <f>COUNTIFS(Data_CRM!$B$2:$B$1694,$A77,Data_CRM!$C$2:$C$1694,$B77,Data_CRM!$F$2:$F$1694,1)</f>
        <v/>
      </c>
      <c r="Y77" s="70">
        <f>IFERROR($I77/$X77,"n/a")</f>
        <v/>
      </c>
      <c r="Z77" s="72">
        <f>IFERROR(IF($W77=0,"n/a",$X77/$W77),"n/a")</f>
        <v/>
      </c>
    </row>
    <row r="78" ht="14.25" customHeight="1" s="54">
      <c r="A78" s="75" t="inlineStr">
        <is>
          <t>Subtotal — META_RMKT_Socials Pages_CBO_SO</t>
        </is>
      </c>
      <c r="B78" s="94" t="n"/>
      <c r="C78" s="74" t="n"/>
      <c r="D78" s="76">
        <f>SUM(D75:D77)</f>
        <v/>
      </c>
      <c r="E78" s="74" t="n"/>
      <c r="F78" s="77">
        <f>IFERROR($I78/$D78,"n/a")</f>
        <v/>
      </c>
      <c r="G78" s="74" t="n"/>
      <c r="H78" s="74" t="n"/>
      <c r="I78" s="78">
        <f>SUM(I75:I77)</f>
        <v/>
      </c>
      <c r="J78" s="76">
        <f>SUM(J75:J77)</f>
        <v/>
      </c>
      <c r="K78" s="76">
        <f>SUM(K75:K77)</f>
        <v/>
      </c>
      <c r="L78" s="74" t="n"/>
      <c r="M78" s="74" t="n"/>
      <c r="N78" s="74" t="n"/>
      <c r="O78" s="74" t="n"/>
      <c r="P78" s="79">
        <f>SUM(P75:P77)</f>
        <v/>
      </c>
      <c r="Q78" s="74" t="n"/>
      <c r="R78" s="76">
        <f>SUM(R75:R77)</f>
        <v/>
      </c>
      <c r="S78" s="79">
        <f>IFERROR($R78/Data_MeetingScheduled!$J$2,"n/a")</f>
        <v/>
      </c>
      <c r="T78" s="76">
        <f>SUM(T75:T77)</f>
        <v/>
      </c>
      <c r="U78" s="80">
        <f>IFERROR($T78/$J78,"n/a")</f>
        <v/>
      </c>
      <c r="V78" s="79">
        <f>IFERROR($T78/$J78,"n/a")</f>
        <v/>
      </c>
      <c r="W78" s="76">
        <f>SUM(W75:W77)</f>
        <v/>
      </c>
      <c r="X78" s="76">
        <f>SUM(X75:X77)</f>
        <v/>
      </c>
      <c r="Y78" s="77">
        <f>IFERROR($I78/$X78,"n/a")</f>
        <v/>
      </c>
      <c r="Z78" s="79">
        <f>IFERROR(IF($W78=0,"n/a",$X78/$W78),"n/a")</f>
        <v/>
      </c>
    </row>
    <row r="79" ht="14.25" customHeight="1" s="54">
      <c r="A79" s="93" t="inlineStr">
        <is>
          <t>CRM Custom List_CBO_SO</t>
        </is>
      </c>
      <c r="B79" s="68" t="inlineStr">
        <is>
          <t>Qualified LAL All Models</t>
        </is>
      </c>
      <c r="C79" s="67" t="inlineStr">
        <is>
          <t>not_delivering</t>
        </is>
      </c>
      <c r="D79" s="69" t="n">
        <v>1</v>
      </c>
      <c r="E79" s="67" t="inlineStr">
        <is>
          <t>conversion_leads:conversion_lead</t>
        </is>
      </c>
      <c r="F79" s="70">
        <f>IFERROR($I79/$D79,"n/a")</f>
        <v/>
      </c>
      <c r="G79" s="67" t="inlineStr">
        <is>
          <t>Using campaign budget</t>
        </is>
      </c>
      <c r="H79" s="67" t="n">
        <v>0</v>
      </c>
      <c r="I79" s="71" t="n">
        <v>0</v>
      </c>
      <c r="J79" s="69" t="n">
        <v>0</v>
      </c>
      <c r="K79" s="69" t="n">
        <v>0</v>
      </c>
      <c r="L79" s="67" t="inlineStr">
        <is>
          <t>Ongoing</t>
        </is>
      </c>
      <c r="M79" s="67" t="inlineStr">
        <is>
          <t>2026-06-20</t>
        </is>
      </c>
      <c r="N79" s="67" t="inlineStr">
        <is>
          <t>7-day click or 1-day view</t>
        </is>
      </c>
      <c r="O79" s="67" t="inlineStr">
        <is>
          <t>ABSOLUTE_OCPM</t>
        </is>
      </c>
      <c r="P79" s="72">
        <f>IFERROR($I79/INDEX($J$21:$J$29,MATCH($A79,$C$21:$C$29,0)),"n/a")</f>
        <v/>
      </c>
      <c r="Q79" s="72">
        <f>IFERROR(IF(INDEX($E$21:$E$29,MATCH($A79,$C$21:$C$29,0))="","n/a",$D79/INDEX($E$21:$E$29,MATCH($A79,$C$21:$C$29,0))),"n/a")</f>
        <v/>
      </c>
      <c r="R79" s="69">
        <f>COUNTIFS(Data_MeetingScheduled!$C$2:$C$200,$A79,Data_MeetingScheduled!$D$2:$D$200,$B79)</f>
        <v/>
      </c>
      <c r="S79" s="72">
        <f>IFERROR($R79/Data_MeetingScheduled!$J$2,"n/a")</f>
        <v/>
      </c>
      <c r="T79" s="69" t="n">
        <v>0</v>
      </c>
      <c r="U79" s="73">
        <f>IFERROR($T79/$J79,"n/a")</f>
        <v/>
      </c>
      <c r="V79" s="72">
        <f>IFERROR($T79/$J79,"n/a")</f>
        <v/>
      </c>
      <c r="W79" s="69">
        <f>COUNTIFS(Data_CRM!$B$2:$B$1694,$A79,Data_CRM!$C$2:$C$1694,$B79)</f>
        <v/>
      </c>
      <c r="X79" s="69">
        <f>COUNTIFS(Data_CRM!$B$2:$B$1694,$A79,Data_CRM!$C$2:$C$1694,$B79,Data_CRM!$F$2:$F$1694,1)</f>
        <v/>
      </c>
      <c r="Y79" s="70">
        <f>IFERROR($I79/$X79,"n/a")</f>
        <v/>
      </c>
      <c r="Z79" s="72">
        <f>IFERROR(IF($W79=0,"n/a",$X79/$W79),"n/a")</f>
        <v/>
      </c>
    </row>
    <row r="80" ht="14.25" customHeight="1" s="54">
      <c r="A80" s="75" t="inlineStr">
        <is>
          <t>Subtotal — CRM Custom List_CBO_SO</t>
        </is>
      </c>
      <c r="B80" s="94" t="n"/>
      <c r="C80" s="74" t="n"/>
      <c r="D80" s="76">
        <f>SUM(D79:D79)</f>
        <v/>
      </c>
      <c r="E80" s="74" t="n"/>
      <c r="F80" s="77">
        <f>IFERROR($I80/$D80,"n/a")</f>
        <v/>
      </c>
      <c r="G80" s="74" t="n"/>
      <c r="H80" s="74" t="n"/>
      <c r="I80" s="78">
        <f>SUM(I79:I79)</f>
        <v/>
      </c>
      <c r="J80" s="76">
        <f>SUM(J79:J79)</f>
        <v/>
      </c>
      <c r="K80" s="76">
        <f>SUM(K79:K79)</f>
        <v/>
      </c>
      <c r="L80" s="74" t="n"/>
      <c r="M80" s="74" t="n"/>
      <c r="N80" s="74" t="n"/>
      <c r="O80" s="74" t="n"/>
      <c r="P80" s="79">
        <f>SUM(P79:P79)</f>
        <v/>
      </c>
      <c r="Q80" s="74" t="n"/>
      <c r="R80" s="76">
        <f>SUM(R79:R79)</f>
        <v/>
      </c>
      <c r="S80" s="79">
        <f>IFERROR($R80/Data_MeetingScheduled!$J$2,"n/a")</f>
        <v/>
      </c>
      <c r="T80" s="76">
        <f>SUM(T79:T79)</f>
        <v/>
      </c>
      <c r="U80" s="80">
        <f>IFERROR($T80/$J80,"n/a")</f>
        <v/>
      </c>
      <c r="V80" s="79">
        <f>IFERROR($T80/$J80,"n/a")</f>
        <v/>
      </c>
      <c r="W80" s="76">
        <f>SUM(W79:W79)</f>
        <v/>
      </c>
      <c r="X80" s="76">
        <f>SUM(X79:X79)</f>
        <v/>
      </c>
      <c r="Y80" s="77">
        <f>IFERROR($I80/$X80,"n/a")</f>
        <v/>
      </c>
      <c r="Z80" s="79">
        <f>IFERROR(IF($W80=0,"n/a",$X80/$W80),"n/a")</f>
        <v/>
      </c>
    </row>
    <row r="81" ht="15.75" customHeight="1" s="54">
      <c r="A81" s="89" t="inlineStr">
        <is>
          <t>GRAND TOTAL — ALL AD SETS (this export)</t>
        </is>
      </c>
      <c r="B81" s="95" t="n"/>
      <c r="C81" s="94" t="n"/>
      <c r="D81" s="90">
        <f>SUM(D52,D53,D55,D56,D58,D59,D60,D62,D64,D65,D66,D68,D69,D71,D72,D73,D75,D76,D77,D79)</f>
        <v/>
      </c>
      <c r="E81" s="96" t="n"/>
      <c r="F81" s="96" t="n"/>
      <c r="G81" s="96" t="n"/>
      <c r="H81" s="96" t="n"/>
      <c r="I81" s="97">
        <f>SUM(I52,I53,I55,I56,I58,I59,I60,I62,I64,I65,I66,I68,I69,I71,I72,I73,I75,I76,I77,I79)</f>
        <v/>
      </c>
      <c r="J81" s="90">
        <f>SUM(J52,J53,J55,J56,J58,J59,J60,J62,J64,J65,J66,J68,J69,J71,J72,J73,J75,J76,J77,J79)</f>
        <v/>
      </c>
      <c r="K81" s="96" t="n"/>
      <c r="L81" s="96" t="n"/>
      <c r="M81" s="96" t="n"/>
      <c r="N81" s="96" t="n"/>
      <c r="O81" s="96" t="n"/>
      <c r="P81" s="96" t="n"/>
      <c r="Q81" s="96" t="n"/>
      <c r="R81" s="90">
        <f>SUM(R52,R53,R55,R56,R58,R59,R60,R62,R64,R65,R66,R68,R69,R71,R72,R73,R75,R76,R77,R79)</f>
        <v/>
      </c>
      <c r="S81" s="91">
        <f>IFERROR($R81/Data_MeetingScheduled!$J$2,"n/a")</f>
        <v/>
      </c>
      <c r="T81" s="90">
        <f>SUM(T52,T53,T55,T56,T58,T59,T60,T62,T64,T65,T66,T68,T69,T71,T72,T73,T75,T76,T77,T79)</f>
        <v/>
      </c>
      <c r="U81" s="98">
        <f>IFERROR($T81/$J81,"n/a")</f>
        <v/>
      </c>
      <c r="V81" s="91">
        <f>IFERROR($T81/$J81,"n/a")</f>
        <v/>
      </c>
      <c r="W81" s="90">
        <f>SUM(W52,W53,W55,W56,W58,W59,W60,W62,W64,W65,W66,W68,W69,W71,W72,W73,W75,W76,W77,W79)</f>
        <v/>
      </c>
      <c r="X81" s="90">
        <f>SUM(X52,X53,X55,X56,X58,X59,X60,X62,X64,X65,X66,X68,X69,X71,X72,X73,X75,X76,X77,X79)</f>
        <v/>
      </c>
      <c r="Y81" s="99">
        <f>IFERROR($I81/$X81,"n/a")</f>
        <v/>
      </c>
      <c r="Z81" s="91">
        <f>IFERROR(IF($W81=0,"n/a",$X81/$W81),"n/a")</f>
        <v/>
      </c>
    </row>
    <row r="82" ht="61.5" customHeight="1" s="54">
      <c r="A82" s="100" t="n"/>
      <c r="B82" s="101" t="n"/>
      <c r="C82" s="101" t="n"/>
      <c r="D82" s="101" t="n"/>
      <c r="E82" s="101" t="n"/>
      <c r="F82" s="101" t="n"/>
      <c r="G82" s="101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</row>
    <row r="84" ht="19.5" customHeight="1" s="54">
      <c r="A84" s="102" t="inlineStr">
        <is>
          <t>4.  AD-WISE PERFORMANCE  —  MTD (1 Oct – 28 Oct 2026),  grouped by ad set and parent campaign</t>
        </is>
      </c>
    </row>
    <row r="85" ht="30" customHeight="1" s="54">
      <c r="A85" s="66" t="inlineStr">
        <is>
          <t>Parent Campaign</t>
        </is>
      </c>
      <c r="B85" s="66" t="inlineStr">
        <is>
          <t>Ad set name</t>
        </is>
      </c>
      <c r="C85" s="66" t="inlineStr">
        <is>
          <t>Ad name</t>
        </is>
      </c>
      <c r="D85" s="66" t="inlineStr">
        <is>
          <t>Ad delivery</t>
        </is>
      </c>
      <c r="E85" s="66" t="inlineStr">
        <is>
          <t>Results</t>
        </is>
      </c>
      <c r="F85" s="66" t="inlineStr">
        <is>
          <t>Result indicator</t>
        </is>
      </c>
      <c r="G85" s="66" t="inlineStr">
        <is>
          <t>Cost per result</t>
        </is>
      </c>
      <c r="H85" s="66" t="inlineStr">
        <is>
          <t>Amount spent (INR)</t>
        </is>
      </c>
      <c r="I85" s="66" t="inlineStr">
        <is>
          <t>Impressions</t>
        </is>
      </c>
      <c r="J85" s="66" t="inlineStr">
        <is>
          <t>Reach</t>
        </is>
      </c>
      <c r="K85" s="66" t="inlineStr">
        <is>
          <t>Attribution setting</t>
        </is>
      </c>
      <c r="L85" s="66" t="inlineStr">
        <is>
          <t>Quality ranking</t>
        </is>
      </c>
      <c r="M85" s="66" t="inlineStr">
        <is>
          <t>Engagement rate ranking</t>
        </is>
      </c>
      <c r="N85" s="66" t="inlineStr">
        <is>
          <t>Conversion rate ranking</t>
        </is>
      </c>
      <c r="O85" s="66" t="inlineStr">
        <is>
          <t>% of Ad Set Spend</t>
        </is>
      </c>
      <c r="P85" s="66" t="inlineStr">
        <is>
          <t>Meetings Scheduled</t>
        </is>
      </c>
      <c r="Q85" s="66" t="inlineStr">
        <is>
          <t>Meeting Scheduled %</t>
        </is>
      </c>
      <c r="R85" s="66" t="inlineStr">
        <is>
          <t>Link Clicks</t>
        </is>
      </c>
      <c r="S85" s="66" t="inlineStr">
        <is>
          <t>CTR</t>
        </is>
      </c>
      <c r="T85" s="66" t="inlineStr">
        <is>
          <t>CTR %</t>
        </is>
      </c>
      <c r="U85" s="66" t="inlineStr">
        <is>
          <t>CRM Leads (LeadChain)</t>
        </is>
      </c>
      <c r="V85" s="66" t="inlineStr">
        <is>
          <t>Qualified Leads</t>
        </is>
      </c>
      <c r="W85" s="66" t="inlineStr">
        <is>
          <t>CPQL</t>
        </is>
      </c>
      <c r="X85" s="66" t="inlineStr">
        <is>
          <t>CPQL %</t>
        </is>
      </c>
    </row>
    <row r="86" ht="14.25" customHeight="1" s="54">
      <c r="A86" s="93" t="inlineStr">
        <is>
          <t>Andromeda_CBO_Signature Store_FICO_Daewoo_SO</t>
        </is>
      </c>
      <c r="B86" s="93" t="inlineStr">
        <is>
          <t>Business Interest Signature Stores_FICO</t>
        </is>
      </c>
      <c r="C86" s="68" t="inlineStr">
        <is>
          <t>Reel – V1_Signature_Store_FICO</t>
        </is>
      </c>
      <c r="D86" s="67" t="inlineStr">
        <is>
          <t>active</t>
        </is>
      </c>
      <c r="E86" s="69" t="n">
        <v>24</v>
      </c>
      <c r="F86" s="67" t="inlineStr">
        <is>
          <t>actions:leadgen.other</t>
        </is>
      </c>
      <c r="G86" s="70">
        <f>IFERROR($H86/$E86,"n/a")</f>
        <v/>
      </c>
      <c r="H86" s="71" t="n">
        <v>18325.06</v>
      </c>
      <c r="I86" s="69" t="n">
        <v>64699</v>
      </c>
      <c r="J86" s="69" t="n">
        <v>43290</v>
      </c>
      <c r="K86" s="67" t="inlineStr">
        <is>
          <t>7-day click or 1-day view</t>
        </is>
      </c>
      <c r="L86" s="67" t="inlineStr">
        <is>
          <t>Above average</t>
        </is>
      </c>
      <c r="M86" s="67" t="inlineStr">
        <is>
          <t>Below average – bottom 20% of ads</t>
        </is>
      </c>
      <c r="N86" s="67" t="inlineStr">
        <is>
          <t>Below average – bottom 10% of ads</t>
        </is>
      </c>
      <c r="O86" s="72">
        <f>IFERROR($H86/$I$52,"n/a")</f>
        <v/>
      </c>
      <c r="P86" s="69">
        <f>COUNTIFS(Data_MeetingScheduled!$C$2:$C$200,$A86,Data_MeetingScheduled!$D$2:$D$200,$B86,Data_MeetingScheduled!$E$2:$E$200,$C86)</f>
        <v/>
      </c>
      <c r="Q86" s="72">
        <f>IFERROR($P86/Data_MeetingScheduled!$J$2,"n/a")</f>
        <v/>
      </c>
      <c r="R86" s="69" t="n">
        <v>532</v>
      </c>
      <c r="S86" s="73">
        <f>IFERROR($R86/$I86,"n/a")</f>
        <v/>
      </c>
      <c r="T86" s="72">
        <f>IFERROR($R86/$I86,"n/a")</f>
        <v/>
      </c>
      <c r="U86" s="69">
        <f>COUNTIFS(Data_CRM!$B$2:$B$1694,$A86,Data_CRM!$C$2:$C$1694,$B86,Data_CRM!$D$2:$D$1694,$C86)</f>
        <v/>
      </c>
      <c r="V86" s="69">
        <f>COUNTIFS(Data_CRM!$B$2:$B$1694,$A86,Data_CRM!$C$2:$C$1694,$B86,Data_CRM!$D$2:$D$1694,$C86,Data_CRM!$F$2:$F$1694,1)</f>
        <v/>
      </c>
      <c r="W86" s="70">
        <f>IFERROR($H86/$V86,"n/a")</f>
        <v/>
      </c>
      <c r="X86" s="72">
        <f>IFERROR(IF($U86=0,"n/a",$V86/$U86),"n/a")</f>
        <v/>
      </c>
    </row>
    <row r="87" ht="14.25" customHeight="1" s="54">
      <c r="A87" s="93" t="inlineStr">
        <is>
          <t>Andromeda_CBO_Signature Store_FICO_Daewoo_SO</t>
        </is>
      </c>
      <c r="B87" s="93" t="inlineStr">
        <is>
          <t>Business Interest Signature Stores_FICO</t>
        </is>
      </c>
      <c r="C87" s="68" t="inlineStr">
        <is>
          <t>Signature_Store Launch</t>
        </is>
      </c>
      <c r="D87" s="67" t="inlineStr">
        <is>
          <t>inactive</t>
        </is>
      </c>
      <c r="E87" s="69" t="n"/>
      <c r="F87" s="67" t="n"/>
      <c r="G87" s="70">
        <f>IFERROR($H87/$E87,"n/a")</f>
        <v/>
      </c>
      <c r="H87" s="71" t="n">
        <v>0</v>
      </c>
      <c r="I87" s="69" t="n">
        <v>0</v>
      </c>
      <c r="J87" s="69" t="n">
        <v>0</v>
      </c>
      <c r="K87" s="67" t="inlineStr">
        <is>
          <t>-</t>
        </is>
      </c>
      <c r="L87" s="67" t="inlineStr">
        <is>
          <t>-</t>
        </is>
      </c>
      <c r="M87" s="67" t="inlineStr">
        <is>
          <t>-</t>
        </is>
      </c>
      <c r="N87" s="67" t="inlineStr">
        <is>
          <t>-</t>
        </is>
      </c>
      <c r="O87" s="72">
        <f>IFERROR($H87/$I$52,"n/a")</f>
        <v/>
      </c>
      <c r="P87" s="69">
        <f>COUNTIFS(Data_MeetingScheduled!$C$2:$C$200,$A87,Data_MeetingScheduled!$D$2:$D$200,$B87,Data_MeetingScheduled!$E$2:$E$200,$C87)</f>
        <v/>
      </c>
      <c r="Q87" s="72">
        <f>IFERROR($P87/Data_MeetingScheduled!$J$2,"n/a")</f>
        <v/>
      </c>
      <c r="R87" s="69" t="n"/>
      <c r="S87" s="73">
        <f>IFERROR($R87/$I87,"n/a")</f>
        <v/>
      </c>
      <c r="T87" s="72">
        <f>IFERROR($R87/$I87,"n/a")</f>
        <v/>
      </c>
      <c r="U87" s="69">
        <f>COUNTIFS(Data_CRM!$B$2:$B$1694,$A87,Data_CRM!$C$2:$C$1694,$B87,Data_CRM!$D$2:$D$1694,$C87)</f>
        <v/>
      </c>
      <c r="V87" s="69">
        <f>COUNTIFS(Data_CRM!$B$2:$B$1694,$A87,Data_CRM!$C$2:$C$1694,$B87,Data_CRM!$D$2:$D$1694,$C87,Data_CRM!$F$2:$F$1694,1)</f>
        <v/>
      </c>
      <c r="W87" s="70">
        <f>IFERROR($H87/$V87,"n/a")</f>
        <v/>
      </c>
      <c r="X87" s="72">
        <f>IFERROR(IF($U87=0,"n/a",$V87/$U87),"n/a")</f>
        <v/>
      </c>
    </row>
    <row r="88" ht="14.25" customHeight="1" s="54">
      <c r="A88" s="93" t="inlineStr">
        <is>
          <t>Andromeda_CBO_Signature Store_FICO_Daewoo_SO</t>
        </is>
      </c>
      <c r="B88" s="93" t="inlineStr">
        <is>
          <t>Business Interest Signature Stores_FICO</t>
        </is>
      </c>
      <c r="C88" s="68" t="inlineStr">
        <is>
          <t>Signature_Store Franchise V2</t>
        </is>
      </c>
      <c r="D88" s="67" t="inlineStr">
        <is>
          <t>inactive</t>
        </is>
      </c>
      <c r="E88" s="69" t="n"/>
      <c r="F88" s="67" t="n"/>
      <c r="G88" s="70">
        <f>IFERROR($H88/$E88,"n/a")</f>
        <v/>
      </c>
      <c r="H88" s="71" t="n">
        <v>0</v>
      </c>
      <c r="I88" s="69" t="n">
        <v>0</v>
      </c>
      <c r="J88" s="69" t="n">
        <v>0</v>
      </c>
      <c r="K88" s="67" t="inlineStr">
        <is>
          <t>-</t>
        </is>
      </c>
      <c r="L88" s="67" t="inlineStr">
        <is>
          <t>-</t>
        </is>
      </c>
      <c r="M88" s="67" t="inlineStr">
        <is>
          <t>-</t>
        </is>
      </c>
      <c r="N88" s="67" t="inlineStr">
        <is>
          <t>-</t>
        </is>
      </c>
      <c r="O88" s="72">
        <f>IFERROR($H88/$I$52,"n/a")</f>
        <v/>
      </c>
      <c r="P88" s="69">
        <f>COUNTIFS(Data_MeetingScheduled!$C$2:$C$200,$A88,Data_MeetingScheduled!$D$2:$D$200,$B88,Data_MeetingScheduled!$E$2:$E$200,$C88)</f>
        <v/>
      </c>
      <c r="Q88" s="72">
        <f>IFERROR($P88/Data_MeetingScheduled!$J$2,"n/a")</f>
        <v/>
      </c>
      <c r="R88" s="69" t="n"/>
      <c r="S88" s="73">
        <f>IFERROR($R88/$I88,"n/a")</f>
        <v/>
      </c>
      <c r="T88" s="72">
        <f>IFERROR($R88/$I88,"n/a")</f>
        <v/>
      </c>
      <c r="U88" s="69">
        <f>COUNTIFS(Data_CRM!$B$2:$B$1694,$A88,Data_CRM!$C$2:$C$1694,$B88,Data_CRM!$D$2:$D$1694,$C88)</f>
        <v/>
      </c>
      <c r="V88" s="69">
        <f>COUNTIFS(Data_CRM!$B$2:$B$1694,$A88,Data_CRM!$C$2:$C$1694,$B88,Data_CRM!$D$2:$D$1694,$C88,Data_CRM!$F$2:$F$1694,1)</f>
        <v/>
      </c>
      <c r="W88" s="70">
        <f>IFERROR($H88/$V88,"n/a")</f>
        <v/>
      </c>
      <c r="X88" s="72">
        <f>IFERROR(IF($U88=0,"n/a",$V88/$U88),"n/a")</f>
        <v/>
      </c>
    </row>
    <row r="89" ht="14.25" customHeight="1" s="54">
      <c r="A89" s="93" t="inlineStr">
        <is>
          <t>Andromeda_CBO_Signature Store_FICO_Daewoo_SO</t>
        </is>
      </c>
      <c r="B89" s="93" t="inlineStr">
        <is>
          <t>Business Interest Signature Stores_FICO</t>
        </is>
      </c>
      <c r="C89" s="68" t="inlineStr">
        <is>
          <t>Signature_Store Command</t>
        </is>
      </c>
      <c r="D89" s="67" t="inlineStr">
        <is>
          <t>inactive</t>
        </is>
      </c>
      <c r="E89" s="69" t="n"/>
      <c r="F89" s="67" t="n"/>
      <c r="G89" s="70">
        <f>IFERROR($H89/$E89,"n/a")</f>
        <v/>
      </c>
      <c r="H89" s="71" t="n">
        <v>0</v>
      </c>
      <c r="I89" s="69" t="n">
        <v>0</v>
      </c>
      <c r="J89" s="69" t="n">
        <v>0</v>
      </c>
      <c r="K89" s="67" t="inlineStr">
        <is>
          <t>-</t>
        </is>
      </c>
      <c r="L89" s="67" t="inlineStr">
        <is>
          <t>-</t>
        </is>
      </c>
      <c r="M89" s="67" t="inlineStr">
        <is>
          <t>-</t>
        </is>
      </c>
      <c r="N89" s="67" t="inlineStr">
        <is>
          <t>-</t>
        </is>
      </c>
      <c r="O89" s="72">
        <f>IFERROR($H89/$I$52,"n/a")</f>
        <v/>
      </c>
      <c r="P89" s="69">
        <f>COUNTIFS(Data_MeetingScheduled!$C$2:$C$200,$A89,Data_MeetingScheduled!$D$2:$D$200,$B89,Data_MeetingScheduled!$E$2:$E$200,$C89)</f>
        <v/>
      </c>
      <c r="Q89" s="72">
        <f>IFERROR($P89/Data_MeetingScheduled!$J$2,"n/a")</f>
        <v/>
      </c>
      <c r="R89" s="69" t="n"/>
      <c r="S89" s="73">
        <f>IFERROR($R89/$I89,"n/a")</f>
        <v/>
      </c>
      <c r="T89" s="72">
        <f>IFERROR($R89/$I89,"n/a")</f>
        <v/>
      </c>
      <c r="U89" s="69">
        <f>COUNTIFS(Data_CRM!$B$2:$B$1694,$A89,Data_CRM!$C$2:$C$1694,$B89,Data_CRM!$D$2:$D$1694,$C89)</f>
        <v/>
      </c>
      <c r="V89" s="69">
        <f>COUNTIFS(Data_CRM!$B$2:$B$1694,$A89,Data_CRM!$C$2:$C$1694,$B89,Data_CRM!$D$2:$D$1694,$C89,Data_CRM!$F$2:$F$1694,1)</f>
        <v/>
      </c>
      <c r="W89" s="70">
        <f>IFERROR($H89/$V89,"n/a")</f>
        <v/>
      </c>
      <c r="X89" s="72">
        <f>IFERROR(IF($U89=0,"n/a",$V89/$U89),"n/a")</f>
        <v/>
      </c>
    </row>
    <row r="90" ht="14.25" customHeight="1" s="54">
      <c r="A90" s="93" t="inlineStr">
        <is>
          <t>Andromeda_CBO_Signature Store_FICO_Daewoo_SO</t>
        </is>
      </c>
      <c r="B90" s="93" t="inlineStr">
        <is>
          <t>Business Interest Signature Stores_FICO</t>
        </is>
      </c>
      <c r="C90" s="68" t="inlineStr">
        <is>
          <t>Home Appliance Franchise V1_Signature_Store</t>
        </is>
      </c>
      <c r="D90" s="67" t="inlineStr">
        <is>
          <t>inactive</t>
        </is>
      </c>
      <c r="E90" s="69" t="n"/>
      <c r="F90" s="67" t="n"/>
      <c r="G90" s="70">
        <f>IFERROR($H90/$E90,"n/a")</f>
        <v/>
      </c>
      <c r="H90" s="71" t="n">
        <v>0</v>
      </c>
      <c r="I90" s="69" t="n">
        <v>0</v>
      </c>
      <c r="J90" s="69" t="n">
        <v>0</v>
      </c>
      <c r="K90" s="67" t="inlineStr">
        <is>
          <t>-</t>
        </is>
      </c>
      <c r="L90" s="67" t="inlineStr">
        <is>
          <t>-</t>
        </is>
      </c>
      <c r="M90" s="67" t="inlineStr">
        <is>
          <t>-</t>
        </is>
      </c>
      <c r="N90" s="67" t="inlineStr">
        <is>
          <t>-</t>
        </is>
      </c>
      <c r="O90" s="72">
        <f>IFERROR($H90/$I$52,"n/a")</f>
        <v/>
      </c>
      <c r="P90" s="69">
        <f>COUNTIFS(Data_MeetingScheduled!$C$2:$C$200,$A90,Data_MeetingScheduled!$D$2:$D$200,$B90,Data_MeetingScheduled!$E$2:$E$200,$C90)</f>
        <v/>
      </c>
      <c r="Q90" s="72">
        <f>IFERROR($P90/Data_MeetingScheduled!$J$2,"n/a")</f>
        <v/>
      </c>
      <c r="R90" s="69" t="n"/>
      <c r="S90" s="73">
        <f>IFERROR($R90/$I90,"n/a")</f>
        <v/>
      </c>
      <c r="T90" s="72">
        <f>IFERROR($R90/$I90,"n/a")</f>
        <v/>
      </c>
      <c r="U90" s="69">
        <f>COUNTIFS(Data_CRM!$B$2:$B$1694,$A90,Data_CRM!$C$2:$C$1694,$B90,Data_CRM!$D$2:$D$1694,$C90)</f>
        <v/>
      </c>
      <c r="V90" s="69">
        <f>COUNTIFS(Data_CRM!$B$2:$B$1694,$A90,Data_CRM!$C$2:$C$1694,$B90,Data_CRM!$D$2:$D$1694,$C90,Data_CRM!$F$2:$F$1694,1)</f>
        <v/>
      </c>
      <c r="W90" s="70">
        <f>IFERROR($H90/$V90,"n/a")</f>
        <v/>
      </c>
      <c r="X90" s="72">
        <f>IFERROR(IF($U90=0,"n/a",$V90/$U90),"n/a")</f>
        <v/>
      </c>
    </row>
    <row r="91" ht="14.25" customHeight="1" s="54">
      <c r="A91" s="93" t="inlineStr">
        <is>
          <t>Andromeda_CBO_Signature Store_FICO_Daewoo_SO</t>
        </is>
      </c>
      <c r="B91" s="93" t="inlineStr">
        <is>
          <t>Business Interest Signature Stores_FICO</t>
        </is>
      </c>
      <c r="C91" s="68" t="inlineStr">
        <is>
          <t>Signature_Store_24 percent v2_</t>
        </is>
      </c>
      <c r="D91" s="67" t="inlineStr">
        <is>
          <t>inactive</t>
        </is>
      </c>
      <c r="E91" s="69" t="n"/>
      <c r="F91" s="67" t="n"/>
      <c r="G91" s="70">
        <f>IFERROR($H91/$E91,"n/a")</f>
        <v/>
      </c>
      <c r="H91" s="71" t="n">
        <v>0</v>
      </c>
      <c r="I91" s="69" t="n">
        <v>0</v>
      </c>
      <c r="J91" s="69" t="n">
        <v>0</v>
      </c>
      <c r="K91" s="67" t="inlineStr">
        <is>
          <t>-</t>
        </is>
      </c>
      <c r="L91" s="67" t="inlineStr">
        <is>
          <t>-</t>
        </is>
      </c>
      <c r="M91" s="67" t="inlineStr">
        <is>
          <t>-</t>
        </is>
      </c>
      <c r="N91" s="67" t="inlineStr">
        <is>
          <t>-</t>
        </is>
      </c>
      <c r="O91" s="72">
        <f>IFERROR($H91/$I$52,"n/a")</f>
        <v/>
      </c>
      <c r="P91" s="69">
        <f>COUNTIFS(Data_MeetingScheduled!$C$2:$C$200,$A91,Data_MeetingScheduled!$D$2:$D$200,$B91,Data_MeetingScheduled!$E$2:$E$200,$C91)</f>
        <v/>
      </c>
      <c r="Q91" s="72">
        <f>IFERROR($P91/Data_MeetingScheduled!$J$2,"n/a")</f>
        <v/>
      </c>
      <c r="R91" s="69" t="n"/>
      <c r="S91" s="73">
        <f>IFERROR($R91/$I91,"n/a")</f>
        <v/>
      </c>
      <c r="T91" s="72">
        <f>IFERROR($R91/$I91,"n/a")</f>
        <v/>
      </c>
      <c r="U91" s="69">
        <f>COUNTIFS(Data_CRM!$B$2:$B$1694,$A91,Data_CRM!$C$2:$C$1694,$B91,Data_CRM!$D$2:$D$1694,$C91)</f>
        <v/>
      </c>
      <c r="V91" s="69">
        <f>COUNTIFS(Data_CRM!$B$2:$B$1694,$A91,Data_CRM!$C$2:$C$1694,$B91,Data_CRM!$D$2:$D$1694,$C91,Data_CRM!$F$2:$F$1694,1)</f>
        <v/>
      </c>
      <c r="W91" s="70">
        <f>IFERROR($H91/$V91,"n/a")</f>
        <v/>
      </c>
      <c r="X91" s="72">
        <f>IFERROR(IF($U91=0,"n/a",$V91/$U91),"n/a")</f>
        <v/>
      </c>
    </row>
    <row r="92" ht="14.25" customHeight="1" s="54">
      <c r="A92" s="93" t="inlineStr">
        <is>
          <t>Andromeda_CBO_Signature Store_FICO_Daewoo_SO</t>
        </is>
      </c>
      <c r="B92" s="93" t="inlineStr">
        <is>
          <t>Business Interest Signature Stores_FICO</t>
        </is>
      </c>
      <c r="C92" s="68" t="inlineStr">
        <is>
          <t>Signature_Store 24 percent</t>
        </is>
      </c>
      <c r="D92" s="67" t="inlineStr">
        <is>
          <t>inactive</t>
        </is>
      </c>
      <c r="E92" s="69" t="n"/>
      <c r="F92" s="67" t="n"/>
      <c r="G92" s="70">
        <f>IFERROR($H92/$E92,"n/a")</f>
        <v/>
      </c>
      <c r="H92" s="71" t="n">
        <v>0</v>
      </c>
      <c r="I92" s="69" t="n">
        <v>0</v>
      </c>
      <c r="J92" s="69" t="n">
        <v>0</v>
      </c>
      <c r="K92" s="67" t="inlineStr">
        <is>
          <t>-</t>
        </is>
      </c>
      <c r="L92" s="67" t="inlineStr">
        <is>
          <t>-</t>
        </is>
      </c>
      <c r="M92" s="67" t="inlineStr">
        <is>
          <t>-</t>
        </is>
      </c>
      <c r="N92" s="67" t="inlineStr">
        <is>
          <t>-</t>
        </is>
      </c>
      <c r="O92" s="72">
        <f>IFERROR($H92/$I$52,"n/a")</f>
        <v/>
      </c>
      <c r="P92" s="69">
        <f>COUNTIFS(Data_MeetingScheduled!$C$2:$C$200,$A92,Data_MeetingScheduled!$D$2:$D$200,$B92,Data_MeetingScheduled!$E$2:$E$200,$C92)</f>
        <v/>
      </c>
      <c r="Q92" s="72">
        <f>IFERROR($P92/Data_MeetingScheduled!$J$2,"n/a")</f>
        <v/>
      </c>
      <c r="R92" s="69" t="n"/>
      <c r="S92" s="73">
        <f>IFERROR($R92/$I92,"n/a")</f>
        <v/>
      </c>
      <c r="T92" s="72">
        <f>IFERROR($R92/$I92,"n/a")</f>
        <v/>
      </c>
      <c r="U92" s="69">
        <f>COUNTIFS(Data_CRM!$B$2:$B$1694,$A92,Data_CRM!$C$2:$C$1694,$B92,Data_CRM!$D$2:$D$1694,$C92)</f>
        <v/>
      </c>
      <c r="V92" s="69">
        <f>COUNTIFS(Data_CRM!$B$2:$B$1694,$A92,Data_CRM!$C$2:$C$1694,$B92,Data_CRM!$D$2:$D$1694,$C92,Data_CRM!$F$2:$F$1694,1)</f>
        <v/>
      </c>
      <c r="W92" s="70">
        <f>IFERROR($H92/$V92,"n/a")</f>
        <v/>
      </c>
      <c r="X92" s="72">
        <f>IFERROR(IF($U92=0,"n/a",$V92/$U92),"n/a")</f>
        <v/>
      </c>
    </row>
    <row r="93" ht="14.25" customHeight="1" s="54">
      <c r="A93" s="93" t="inlineStr">
        <is>
          <t>Andromeda_CBO_Signature Store_FICO_Daewoo_SO</t>
        </is>
      </c>
      <c r="B93" s="93" t="inlineStr">
        <is>
          <t>Business Interest Signature Stores_FICO</t>
        </is>
      </c>
      <c r="C93" s="68" t="inlineStr">
        <is>
          <t>24 percent new building_Signature_Store</t>
        </is>
      </c>
      <c r="D93" s="67" t="inlineStr">
        <is>
          <t>inactive</t>
        </is>
      </c>
      <c r="E93" s="69" t="n"/>
      <c r="F93" s="67" t="n"/>
      <c r="G93" s="70">
        <f>IFERROR($H93/$E93,"n/a")</f>
        <v/>
      </c>
      <c r="H93" s="71" t="n">
        <v>0</v>
      </c>
      <c r="I93" s="69" t="n">
        <v>0</v>
      </c>
      <c r="J93" s="69" t="n">
        <v>0</v>
      </c>
      <c r="K93" s="67" t="inlineStr">
        <is>
          <t>-</t>
        </is>
      </c>
      <c r="L93" s="67" t="inlineStr">
        <is>
          <t>-</t>
        </is>
      </c>
      <c r="M93" s="67" t="inlineStr">
        <is>
          <t>-</t>
        </is>
      </c>
      <c r="N93" s="67" t="inlineStr">
        <is>
          <t>-</t>
        </is>
      </c>
      <c r="O93" s="72">
        <f>IFERROR($H93/$I$52,"n/a")</f>
        <v/>
      </c>
      <c r="P93" s="69">
        <f>COUNTIFS(Data_MeetingScheduled!$C$2:$C$200,$A93,Data_MeetingScheduled!$D$2:$D$200,$B93,Data_MeetingScheduled!$E$2:$E$200,$C93)</f>
        <v/>
      </c>
      <c r="Q93" s="72">
        <f>IFERROR($P93/Data_MeetingScheduled!$J$2,"n/a")</f>
        <v/>
      </c>
      <c r="R93" s="69" t="n"/>
      <c r="S93" s="73">
        <f>IFERROR($R93/$I93,"n/a")</f>
        <v/>
      </c>
      <c r="T93" s="72">
        <f>IFERROR($R93/$I93,"n/a")</f>
        <v/>
      </c>
      <c r="U93" s="69">
        <f>COUNTIFS(Data_CRM!$B$2:$B$1694,$A93,Data_CRM!$C$2:$C$1694,$B93,Data_CRM!$D$2:$D$1694,$C93)</f>
        <v/>
      </c>
      <c r="V93" s="69">
        <f>COUNTIFS(Data_CRM!$B$2:$B$1694,$A93,Data_CRM!$C$2:$C$1694,$B93,Data_CRM!$D$2:$D$1694,$C93,Data_CRM!$F$2:$F$1694,1)</f>
        <v/>
      </c>
      <c r="W93" s="70">
        <f>IFERROR($H93/$V93,"n/a")</f>
        <v/>
      </c>
      <c r="X93" s="72">
        <f>IFERROR(IF($U93=0,"n/a",$V93/$U93),"n/a")</f>
        <v/>
      </c>
    </row>
    <row r="94" ht="14.25" customHeight="1" s="54">
      <c r="A94" s="93" t="inlineStr">
        <is>
          <t>Andromeda_CBO_Signature Store_FICO_Daewoo_SO</t>
        </is>
      </c>
      <c r="B94" s="93" t="inlineStr">
        <is>
          <t>Business Interest Signature Stores_FICO</t>
        </is>
      </c>
      <c r="C94" s="68" t="inlineStr">
        <is>
          <t>Upto 24 percent model G_Signature_Store_SO</t>
        </is>
      </c>
      <c r="D94" s="67" t="inlineStr">
        <is>
          <t>inactive</t>
        </is>
      </c>
      <c r="E94" s="69" t="n"/>
      <c r="F94" s="67" t="n"/>
      <c r="G94" s="70">
        <f>IFERROR($H94/$E94,"n/a")</f>
        <v/>
      </c>
      <c r="H94" s="71" t="n">
        <v>0</v>
      </c>
      <c r="I94" s="69" t="n">
        <v>0</v>
      </c>
      <c r="J94" s="69" t="n">
        <v>0</v>
      </c>
      <c r="K94" s="67" t="inlineStr">
        <is>
          <t>-</t>
        </is>
      </c>
      <c r="L94" s="67" t="inlineStr">
        <is>
          <t>-</t>
        </is>
      </c>
      <c r="M94" s="67" t="inlineStr">
        <is>
          <t>-</t>
        </is>
      </c>
      <c r="N94" s="67" t="inlineStr">
        <is>
          <t>-</t>
        </is>
      </c>
      <c r="O94" s="72">
        <f>IFERROR($H94/$I$52,"n/a")</f>
        <v/>
      </c>
      <c r="P94" s="69">
        <f>COUNTIFS(Data_MeetingScheduled!$C$2:$C$200,$A94,Data_MeetingScheduled!$D$2:$D$200,$B94,Data_MeetingScheduled!$E$2:$E$200,$C94)</f>
        <v/>
      </c>
      <c r="Q94" s="72">
        <f>IFERROR($P94/Data_MeetingScheduled!$J$2,"n/a")</f>
        <v/>
      </c>
      <c r="R94" s="69" t="n"/>
      <c r="S94" s="73">
        <f>IFERROR($R94/$I94,"n/a")</f>
        <v/>
      </c>
      <c r="T94" s="72">
        <f>IFERROR($R94/$I94,"n/a")</f>
        <v/>
      </c>
      <c r="U94" s="69">
        <f>COUNTIFS(Data_CRM!$B$2:$B$1694,$A94,Data_CRM!$C$2:$C$1694,$B94,Data_CRM!$D$2:$D$1694,$C94)</f>
        <v/>
      </c>
      <c r="V94" s="69">
        <f>COUNTIFS(Data_CRM!$B$2:$B$1694,$A94,Data_CRM!$C$2:$C$1694,$B94,Data_CRM!$D$2:$D$1694,$C94,Data_CRM!$F$2:$F$1694,1)</f>
        <v/>
      </c>
      <c r="W94" s="70">
        <f>IFERROR($H94/$V94,"n/a")</f>
        <v/>
      </c>
      <c r="X94" s="72">
        <f>IFERROR(IF($U94=0,"n/a",$V94/$U94),"n/a")</f>
        <v/>
      </c>
    </row>
    <row r="95" ht="14.25" customHeight="1" s="54">
      <c r="A95" s="93" t="inlineStr">
        <is>
          <t>Andromeda_CBO_Signature Store_FICO_Daewoo_SO</t>
        </is>
      </c>
      <c r="B95" s="93" t="inlineStr">
        <is>
          <t>Business Interest Signature Stores_FICO</t>
        </is>
      </c>
      <c r="C95" s="68" t="inlineStr">
        <is>
          <t>Premium_Signature_Store_Large</t>
        </is>
      </c>
      <c r="D95" s="67" t="inlineStr">
        <is>
          <t>inactive</t>
        </is>
      </c>
      <c r="E95" s="69" t="n"/>
      <c r="F95" s="67" t="n"/>
      <c r="G95" s="70">
        <f>IFERROR($H95/$E95,"n/a")</f>
        <v/>
      </c>
      <c r="H95" s="71" t="n">
        <v>0</v>
      </c>
      <c r="I95" s="69" t="n">
        <v>0</v>
      </c>
      <c r="J95" s="69" t="n">
        <v>0</v>
      </c>
      <c r="K95" s="67" t="inlineStr">
        <is>
          <t>-</t>
        </is>
      </c>
      <c r="L95" s="67" t="inlineStr">
        <is>
          <t>-</t>
        </is>
      </c>
      <c r="M95" s="67" t="inlineStr">
        <is>
          <t>-</t>
        </is>
      </c>
      <c r="N95" s="67" t="inlineStr">
        <is>
          <t>-</t>
        </is>
      </c>
      <c r="O95" s="72">
        <f>IFERROR($H95/$I$52,"n/a")</f>
        <v/>
      </c>
      <c r="P95" s="69">
        <f>COUNTIFS(Data_MeetingScheduled!$C$2:$C$200,$A95,Data_MeetingScheduled!$D$2:$D$200,$B95,Data_MeetingScheduled!$E$2:$E$200,$C95)</f>
        <v/>
      </c>
      <c r="Q95" s="72">
        <f>IFERROR($P95/Data_MeetingScheduled!$J$2,"n/a")</f>
        <v/>
      </c>
      <c r="R95" s="69" t="n"/>
      <c r="S95" s="73">
        <f>IFERROR($R95/$I95,"n/a")</f>
        <v/>
      </c>
      <c r="T95" s="72">
        <f>IFERROR($R95/$I95,"n/a")</f>
        <v/>
      </c>
      <c r="U95" s="69">
        <f>COUNTIFS(Data_CRM!$B$2:$B$1694,$A95,Data_CRM!$C$2:$C$1694,$B95,Data_CRM!$D$2:$D$1694,$C95)</f>
        <v/>
      </c>
      <c r="V95" s="69">
        <f>COUNTIFS(Data_CRM!$B$2:$B$1694,$A95,Data_CRM!$C$2:$C$1694,$B95,Data_CRM!$D$2:$D$1694,$C95,Data_CRM!$F$2:$F$1694,1)</f>
        <v/>
      </c>
      <c r="W95" s="70">
        <f>IFERROR($H95/$V95,"n/a")</f>
        <v/>
      </c>
      <c r="X95" s="72">
        <f>IFERROR(IF($U95=0,"n/a",$V95/$U95),"n/a")</f>
        <v/>
      </c>
    </row>
    <row r="96" ht="14.25" customHeight="1" s="54">
      <c r="A96" s="93" t="inlineStr">
        <is>
          <t>Andromeda_CBO_Signature Store_FICO_Daewoo_SO</t>
        </is>
      </c>
      <c r="B96" s="93" t="inlineStr">
        <is>
          <t>Business Interest Signature Stores_FICO</t>
        </is>
      </c>
      <c r="C96" s="68" t="inlineStr">
        <is>
          <t>Signature_Store_24_Large_SO</t>
        </is>
      </c>
      <c r="D96" s="67" t="inlineStr">
        <is>
          <t>inactive</t>
        </is>
      </c>
      <c r="E96" s="69" t="n"/>
      <c r="F96" s="67" t="n"/>
      <c r="G96" s="70">
        <f>IFERROR($H96/$E96,"n/a")</f>
        <v/>
      </c>
      <c r="H96" s="71" t="n">
        <v>0</v>
      </c>
      <c r="I96" s="69" t="n">
        <v>0</v>
      </c>
      <c r="J96" s="69" t="n">
        <v>0</v>
      </c>
      <c r="K96" s="67" t="inlineStr">
        <is>
          <t>-</t>
        </is>
      </c>
      <c r="L96" s="67" t="inlineStr">
        <is>
          <t>-</t>
        </is>
      </c>
      <c r="M96" s="67" t="inlineStr">
        <is>
          <t>-</t>
        </is>
      </c>
      <c r="N96" s="67" t="inlineStr">
        <is>
          <t>-</t>
        </is>
      </c>
      <c r="O96" s="72">
        <f>IFERROR($H96/$I$52,"n/a")</f>
        <v/>
      </c>
      <c r="P96" s="69">
        <f>COUNTIFS(Data_MeetingScheduled!$C$2:$C$200,$A96,Data_MeetingScheduled!$D$2:$D$200,$B96,Data_MeetingScheduled!$E$2:$E$200,$C96)</f>
        <v/>
      </c>
      <c r="Q96" s="72">
        <f>IFERROR($P96/Data_MeetingScheduled!$J$2,"n/a")</f>
        <v/>
      </c>
      <c r="R96" s="69" t="n"/>
      <c r="S96" s="73">
        <f>IFERROR($R96/$I96,"n/a")</f>
        <v/>
      </c>
      <c r="T96" s="72">
        <f>IFERROR($R96/$I96,"n/a")</f>
        <v/>
      </c>
      <c r="U96" s="69">
        <f>COUNTIFS(Data_CRM!$B$2:$B$1694,$A96,Data_CRM!$C$2:$C$1694,$B96,Data_CRM!$D$2:$D$1694,$C96)</f>
        <v/>
      </c>
      <c r="V96" s="69">
        <f>COUNTIFS(Data_CRM!$B$2:$B$1694,$A96,Data_CRM!$C$2:$C$1694,$B96,Data_CRM!$D$2:$D$1694,$C96,Data_CRM!$F$2:$F$1694,1)</f>
        <v/>
      </c>
      <c r="W96" s="70">
        <f>IFERROR($H96/$V96,"n/a")</f>
        <v/>
      </c>
      <c r="X96" s="72">
        <f>IFERROR(IF($U96=0,"n/a",$V96/$U96),"n/a")</f>
        <v/>
      </c>
    </row>
    <row r="97" ht="14.25" customHeight="1" s="54">
      <c r="A97" s="93" t="inlineStr">
        <is>
          <t>Andromeda_CBO_Signature Store_FICO_Daewoo_SO</t>
        </is>
      </c>
      <c r="B97" s="93" t="inlineStr">
        <is>
          <t>Business Interest Signature Stores_FICO</t>
        </is>
      </c>
      <c r="C97" s="68" t="inlineStr">
        <is>
          <t>Signature_Store_24_Blu_Large_SO_</t>
        </is>
      </c>
      <c r="D97" s="67" t="inlineStr">
        <is>
          <t>inactive</t>
        </is>
      </c>
      <c r="E97" s="69" t="n"/>
      <c r="F97" s="67" t="n"/>
      <c r="G97" s="70">
        <f>IFERROR($H97/$E97,"n/a")</f>
        <v/>
      </c>
      <c r="H97" s="71" t="n">
        <v>0</v>
      </c>
      <c r="I97" s="69" t="n">
        <v>0</v>
      </c>
      <c r="J97" s="69" t="n">
        <v>0</v>
      </c>
      <c r="K97" s="67" t="inlineStr">
        <is>
          <t>-</t>
        </is>
      </c>
      <c r="L97" s="67" t="inlineStr">
        <is>
          <t>-</t>
        </is>
      </c>
      <c r="M97" s="67" t="inlineStr">
        <is>
          <t>-</t>
        </is>
      </c>
      <c r="N97" s="67" t="inlineStr">
        <is>
          <t>-</t>
        </is>
      </c>
      <c r="O97" s="72">
        <f>IFERROR($H97/$I$52,"n/a")</f>
        <v/>
      </c>
      <c r="P97" s="69">
        <f>COUNTIFS(Data_MeetingScheduled!$C$2:$C$200,$A97,Data_MeetingScheduled!$D$2:$D$200,$B97,Data_MeetingScheduled!$E$2:$E$200,$C97)</f>
        <v/>
      </c>
      <c r="Q97" s="72">
        <f>IFERROR($P97/Data_MeetingScheduled!$J$2,"n/a")</f>
        <v/>
      </c>
      <c r="R97" s="69" t="n"/>
      <c r="S97" s="73">
        <f>IFERROR($R97/$I97,"n/a")</f>
        <v/>
      </c>
      <c r="T97" s="72">
        <f>IFERROR($R97/$I97,"n/a")</f>
        <v/>
      </c>
      <c r="U97" s="69">
        <f>COUNTIFS(Data_CRM!$B$2:$B$1694,$A97,Data_CRM!$C$2:$C$1694,$B97,Data_CRM!$D$2:$D$1694,$C97)</f>
        <v/>
      </c>
      <c r="V97" s="69">
        <f>COUNTIFS(Data_CRM!$B$2:$B$1694,$A97,Data_CRM!$C$2:$C$1694,$B97,Data_CRM!$D$2:$D$1694,$C97,Data_CRM!$F$2:$F$1694,1)</f>
        <v/>
      </c>
      <c r="W97" s="70">
        <f>IFERROR($H97/$V97,"n/a")</f>
        <v/>
      </c>
      <c r="X97" s="72">
        <f>IFERROR(IF($U97=0,"n/a",$V97/$U97),"n/a")</f>
        <v/>
      </c>
    </row>
    <row r="98" ht="14.25" customHeight="1" s="54">
      <c r="A98" s="93" t="inlineStr">
        <is>
          <t>Andromeda_CBO_Signature Store_FICO_Daewoo_SO</t>
        </is>
      </c>
      <c r="B98" s="93" t="inlineStr">
        <is>
          <t>Business Interest Signature Stores_FICO</t>
        </is>
      </c>
      <c r="C98" s="68" t="inlineStr">
        <is>
          <t>Reel_All_Signature_Store_FICO_SO</t>
        </is>
      </c>
      <c r="D98" s="67" t="inlineStr">
        <is>
          <t>inactive</t>
        </is>
      </c>
      <c r="E98" s="69" t="n"/>
      <c r="F98" s="67" t="n"/>
      <c r="G98" s="70">
        <f>IFERROR($H98/$E98,"n/a")</f>
        <v/>
      </c>
      <c r="H98" s="71" t="n">
        <v>0</v>
      </c>
      <c r="I98" s="69" t="n">
        <v>0</v>
      </c>
      <c r="J98" s="69" t="n">
        <v>0</v>
      </c>
      <c r="K98" s="67" t="inlineStr">
        <is>
          <t>-</t>
        </is>
      </c>
      <c r="L98" s="67" t="inlineStr">
        <is>
          <t>-</t>
        </is>
      </c>
      <c r="M98" s="67" t="inlineStr">
        <is>
          <t>-</t>
        </is>
      </c>
      <c r="N98" s="67" t="inlineStr">
        <is>
          <t>-</t>
        </is>
      </c>
      <c r="O98" s="72">
        <f>IFERROR($H98/$I$52,"n/a")</f>
        <v/>
      </c>
      <c r="P98" s="69">
        <f>COUNTIFS(Data_MeetingScheduled!$C$2:$C$200,$A98,Data_MeetingScheduled!$D$2:$D$200,$B98,Data_MeetingScheduled!$E$2:$E$200,$C98)</f>
        <v/>
      </c>
      <c r="Q98" s="72">
        <f>IFERROR($P98/Data_MeetingScheduled!$J$2,"n/a")</f>
        <v/>
      </c>
      <c r="R98" s="69" t="n"/>
      <c r="S98" s="73">
        <f>IFERROR($R98/$I98,"n/a")</f>
        <v/>
      </c>
      <c r="T98" s="72">
        <f>IFERROR($R98/$I98,"n/a")</f>
        <v/>
      </c>
      <c r="U98" s="69">
        <f>COUNTIFS(Data_CRM!$B$2:$B$1694,$A98,Data_CRM!$C$2:$C$1694,$B98,Data_CRM!$D$2:$D$1694,$C98)</f>
        <v/>
      </c>
      <c r="V98" s="69">
        <f>COUNTIFS(Data_CRM!$B$2:$B$1694,$A98,Data_CRM!$C$2:$C$1694,$B98,Data_CRM!$D$2:$D$1694,$C98,Data_CRM!$F$2:$F$1694,1)</f>
        <v/>
      </c>
      <c r="W98" s="70">
        <f>IFERROR($H98/$V98,"n/a")</f>
        <v/>
      </c>
      <c r="X98" s="72">
        <f>IFERROR(IF($U98=0,"n/a",$V98/$U98),"n/a")</f>
        <v/>
      </c>
    </row>
    <row r="99" ht="14.25" customHeight="1" s="54">
      <c r="A99" s="93" t="inlineStr">
        <is>
          <t>Andromeda_CBO_Signature Store_FICO_Daewoo_SO</t>
        </is>
      </c>
      <c r="B99" s="93" t="inlineStr">
        <is>
          <t>Business Interest Signature Stores_FICO</t>
        </is>
      </c>
      <c r="C99" s="68" t="inlineStr">
        <is>
          <t>Reel_Signature_Store_Large</t>
        </is>
      </c>
      <c r="D99" s="67" t="inlineStr">
        <is>
          <t>inactive</t>
        </is>
      </c>
      <c r="E99" s="69" t="n"/>
      <c r="F99" s="67" t="n"/>
      <c r="G99" s="70">
        <f>IFERROR($H99/$E99,"n/a")</f>
        <v/>
      </c>
      <c r="H99" s="71" t="n">
        <v>0</v>
      </c>
      <c r="I99" s="69" t="n">
        <v>0</v>
      </c>
      <c r="J99" s="69" t="n">
        <v>0</v>
      </c>
      <c r="K99" s="67" t="inlineStr">
        <is>
          <t>-</t>
        </is>
      </c>
      <c r="L99" s="67" t="inlineStr">
        <is>
          <t>-</t>
        </is>
      </c>
      <c r="M99" s="67" t="inlineStr">
        <is>
          <t>-</t>
        </is>
      </c>
      <c r="N99" s="67" t="inlineStr">
        <is>
          <t>-</t>
        </is>
      </c>
      <c r="O99" s="72">
        <f>IFERROR($H99/$I$52,"n/a")</f>
        <v/>
      </c>
      <c r="P99" s="69">
        <f>COUNTIFS(Data_MeetingScheduled!$C$2:$C$200,$A99,Data_MeetingScheduled!$D$2:$D$200,$B99,Data_MeetingScheduled!$E$2:$E$200,$C99)</f>
        <v/>
      </c>
      <c r="Q99" s="72">
        <f>IFERROR($P99/Data_MeetingScheduled!$J$2,"n/a")</f>
        <v/>
      </c>
      <c r="R99" s="69" t="n"/>
      <c r="S99" s="73">
        <f>IFERROR($R99/$I99,"n/a")</f>
        <v/>
      </c>
      <c r="T99" s="72">
        <f>IFERROR($R99/$I99,"n/a")</f>
        <v/>
      </c>
      <c r="U99" s="69">
        <f>COUNTIFS(Data_CRM!$B$2:$B$1694,$A99,Data_CRM!$C$2:$C$1694,$B99,Data_CRM!$D$2:$D$1694,$C99)</f>
        <v/>
      </c>
      <c r="V99" s="69">
        <f>COUNTIFS(Data_CRM!$B$2:$B$1694,$A99,Data_CRM!$C$2:$C$1694,$B99,Data_CRM!$D$2:$D$1694,$C99,Data_CRM!$F$2:$F$1694,1)</f>
        <v/>
      </c>
      <c r="W99" s="70">
        <f>IFERROR($H99/$V99,"n/a")</f>
        <v/>
      </c>
      <c r="X99" s="72">
        <f>IFERROR(IF($U99=0,"n/a",$V99/$U99),"n/a")</f>
        <v/>
      </c>
    </row>
    <row r="100" ht="14.25" customHeight="1" s="54">
      <c r="A100" s="93" t="inlineStr">
        <is>
          <t>Andromeda_CBO_Signature Store_FICO_Daewoo_SO</t>
        </is>
      </c>
      <c r="B100" s="93" t="inlineStr">
        <is>
          <t>Business Interest Signature Stores_FICO</t>
        </is>
      </c>
      <c r="C100" s="68" t="inlineStr">
        <is>
          <t>Signature_Store_Large Factory_Type_SO</t>
        </is>
      </c>
      <c r="D100" s="67" t="inlineStr">
        <is>
          <t>inactive</t>
        </is>
      </c>
      <c r="E100" s="69" t="n"/>
      <c r="F100" s="67" t="n"/>
      <c r="G100" s="70">
        <f>IFERROR($H100/$E100,"n/a")</f>
        <v/>
      </c>
      <c r="H100" s="71" t="n">
        <v>0</v>
      </c>
      <c r="I100" s="69" t="n">
        <v>0</v>
      </c>
      <c r="J100" s="69" t="n">
        <v>0</v>
      </c>
      <c r="K100" s="67" t="inlineStr">
        <is>
          <t>-</t>
        </is>
      </c>
      <c r="L100" s="67" t="inlineStr">
        <is>
          <t>-</t>
        </is>
      </c>
      <c r="M100" s="67" t="inlineStr">
        <is>
          <t>-</t>
        </is>
      </c>
      <c r="N100" s="67" t="inlineStr">
        <is>
          <t>-</t>
        </is>
      </c>
      <c r="O100" s="72">
        <f>IFERROR($H100/$I$52,"n/a")</f>
        <v/>
      </c>
      <c r="P100" s="69">
        <f>COUNTIFS(Data_MeetingScheduled!$C$2:$C$200,$A100,Data_MeetingScheduled!$D$2:$D$200,$B100,Data_MeetingScheduled!$E$2:$E$200,$C100)</f>
        <v/>
      </c>
      <c r="Q100" s="72">
        <f>IFERROR($P100/Data_MeetingScheduled!$J$2,"n/a")</f>
        <v/>
      </c>
      <c r="R100" s="69" t="n"/>
      <c r="S100" s="73">
        <f>IFERROR($R100/$I100,"n/a")</f>
        <v/>
      </c>
      <c r="T100" s="72">
        <f>IFERROR($R100/$I100,"n/a")</f>
        <v/>
      </c>
      <c r="U100" s="69">
        <f>COUNTIFS(Data_CRM!$B$2:$B$1694,$A100,Data_CRM!$C$2:$C$1694,$B100,Data_CRM!$D$2:$D$1694,$C100)</f>
        <v/>
      </c>
      <c r="V100" s="69">
        <f>COUNTIFS(Data_CRM!$B$2:$B$1694,$A100,Data_CRM!$C$2:$C$1694,$B100,Data_CRM!$D$2:$D$1694,$C100,Data_CRM!$F$2:$F$1694,1)</f>
        <v/>
      </c>
      <c r="W100" s="70">
        <f>IFERROR($H100/$V100,"n/a")</f>
        <v/>
      </c>
      <c r="X100" s="72">
        <f>IFERROR(IF($U100=0,"n/a",$V100/$U100),"n/a")</f>
        <v/>
      </c>
    </row>
    <row r="101" ht="14.25" customHeight="1" s="54">
      <c r="A101" s="93" t="inlineStr">
        <is>
          <t>Andromeda_CBO_Signature Store_FICO_Daewoo_SO</t>
        </is>
      </c>
      <c r="B101" s="93" t="inlineStr">
        <is>
          <t>Business Interest Signature Stores_FICO</t>
        </is>
      </c>
      <c r="C101" s="68" t="inlineStr">
        <is>
          <t>Signature_Store_160_Glass_SO</t>
        </is>
      </c>
      <c r="D101" s="67" t="inlineStr">
        <is>
          <t>active</t>
        </is>
      </c>
      <c r="E101" s="69" t="n">
        <v>171</v>
      </c>
      <c r="F101" s="67" t="inlineStr">
        <is>
          <t>actions:leadgen.other</t>
        </is>
      </c>
      <c r="G101" s="70">
        <f>IFERROR($H101/$E101,"n/a")</f>
        <v/>
      </c>
      <c r="H101" s="71" t="n">
        <v>115776.82</v>
      </c>
      <c r="I101" s="69" t="n">
        <v>924764</v>
      </c>
      <c r="J101" s="69" t="n">
        <v>527548</v>
      </c>
      <c r="K101" s="67" t="inlineStr">
        <is>
          <t>7-day click or 1-day view</t>
        </is>
      </c>
      <c r="L101" s="67" t="inlineStr">
        <is>
          <t>-</t>
        </is>
      </c>
      <c r="M101" s="67" t="inlineStr">
        <is>
          <t>-</t>
        </is>
      </c>
      <c r="N101" s="67" t="inlineStr">
        <is>
          <t>-</t>
        </is>
      </c>
      <c r="O101" s="72">
        <f>IFERROR($H101/$I$52,"n/a")</f>
        <v/>
      </c>
      <c r="P101" s="69">
        <f>COUNTIFS(Data_MeetingScheduled!$C$2:$C$200,$A101,Data_MeetingScheduled!$D$2:$D$200,$B101,Data_MeetingScheduled!$E$2:$E$200,$C101)</f>
        <v/>
      </c>
      <c r="Q101" s="72">
        <f>IFERROR($P101/Data_MeetingScheduled!$J$2,"n/a")</f>
        <v/>
      </c>
      <c r="R101" s="69" t="n">
        <v>3622</v>
      </c>
      <c r="S101" s="73">
        <f>IFERROR($R101/$I101,"n/a")</f>
        <v/>
      </c>
      <c r="T101" s="72">
        <f>IFERROR($R101/$I101,"n/a")</f>
        <v/>
      </c>
      <c r="U101" s="69">
        <f>COUNTIFS(Data_CRM!$B$2:$B$1694,$A101,Data_CRM!$C$2:$C$1694,$B101,Data_CRM!$D$2:$D$1694,$C101)</f>
        <v/>
      </c>
      <c r="V101" s="69">
        <f>COUNTIFS(Data_CRM!$B$2:$B$1694,$A101,Data_CRM!$C$2:$C$1694,$B101,Data_CRM!$D$2:$D$1694,$C101,Data_CRM!$F$2:$F$1694,1)</f>
        <v/>
      </c>
      <c r="W101" s="70">
        <f>IFERROR($H101/$V101,"n/a")</f>
        <v/>
      </c>
      <c r="X101" s="72">
        <f>IFERROR(IF($U101=0,"n/a",$V101/$U101),"n/a")</f>
        <v/>
      </c>
    </row>
    <row r="102" ht="14.25" customHeight="1" s="54">
      <c r="A102" s="93" t="inlineStr">
        <is>
          <t>Andromeda_CBO_Signature Store_FICO_Daewoo_SO</t>
        </is>
      </c>
      <c r="B102" s="93" t="inlineStr">
        <is>
          <t>Business Interest Signature Stores_FICO</t>
        </is>
      </c>
      <c r="C102" s="68" t="inlineStr">
        <is>
          <t>Signature Store_SO</t>
        </is>
      </c>
      <c r="D102" s="67" t="inlineStr">
        <is>
          <t>active</t>
        </is>
      </c>
      <c r="E102" s="69" t="n">
        <v>156</v>
      </c>
      <c r="F102" s="67" t="inlineStr">
        <is>
          <t>actions:leadgen.other</t>
        </is>
      </c>
      <c r="G102" s="70">
        <f>IFERROR($H102/$E102,"n/a")</f>
        <v/>
      </c>
      <c r="H102" s="71" t="n">
        <v>94722.89</v>
      </c>
      <c r="I102" s="69" t="n">
        <v>587574</v>
      </c>
      <c r="J102" s="69" t="n">
        <v>320523</v>
      </c>
      <c r="K102" s="67" t="inlineStr">
        <is>
          <t>7-day click or 1-day view</t>
        </is>
      </c>
      <c r="L102" s="67" t="inlineStr">
        <is>
          <t>-</t>
        </is>
      </c>
      <c r="M102" s="67" t="inlineStr">
        <is>
          <t>-</t>
        </is>
      </c>
      <c r="N102" s="67" t="inlineStr">
        <is>
          <t>-</t>
        </is>
      </c>
      <c r="O102" s="72">
        <f>IFERROR($H102/$I$52,"n/a")</f>
        <v/>
      </c>
      <c r="P102" s="69">
        <f>COUNTIFS(Data_MeetingScheduled!$C$2:$C$200,$A102,Data_MeetingScheduled!$D$2:$D$200,$B102,Data_MeetingScheduled!$E$2:$E$200,$C102)</f>
        <v/>
      </c>
      <c r="Q102" s="72">
        <f>IFERROR($P102/Data_MeetingScheduled!$J$2,"n/a")</f>
        <v/>
      </c>
      <c r="R102" s="69" t="n">
        <v>3342</v>
      </c>
      <c r="S102" s="73">
        <f>IFERROR($R102/$I102,"n/a")</f>
        <v/>
      </c>
      <c r="T102" s="72">
        <f>IFERROR($R102/$I102,"n/a")</f>
        <v/>
      </c>
      <c r="U102" s="69">
        <f>COUNTIFS(Data_CRM!$B$2:$B$1694,$A102,Data_CRM!$C$2:$C$1694,$B102,Data_CRM!$D$2:$D$1694,$C102)</f>
        <v/>
      </c>
      <c r="V102" s="69">
        <f>COUNTIFS(Data_CRM!$B$2:$B$1694,$A102,Data_CRM!$C$2:$C$1694,$B102,Data_CRM!$D$2:$D$1694,$C102,Data_CRM!$F$2:$F$1694,1)</f>
        <v/>
      </c>
      <c r="W102" s="70">
        <f>IFERROR($H102/$V102,"n/a")</f>
        <v/>
      </c>
      <c r="X102" s="72">
        <f>IFERROR(IF($U102=0,"n/a",$V102/$U102),"n/a")</f>
        <v/>
      </c>
    </row>
    <row r="103" ht="14.25" customHeight="1" s="54">
      <c r="A103" s="93" t="inlineStr">
        <is>
          <t>Andromeda_CBO_Signature Store_FICO_Daewoo_SO</t>
        </is>
      </c>
      <c r="B103" s="93" t="inlineStr">
        <is>
          <t>Business Interest Signature Stores_FICO</t>
        </is>
      </c>
      <c r="C103" s="68" t="inlineStr">
        <is>
          <t>Signature_Store_OCT_SO</t>
        </is>
      </c>
      <c r="D103" s="67" t="inlineStr">
        <is>
          <t>active</t>
        </is>
      </c>
      <c r="E103" s="69" t="n"/>
      <c r="F103" s="67" t="n"/>
      <c r="G103" s="70">
        <f>IFERROR($H103/$E103,"n/a")</f>
        <v/>
      </c>
      <c r="H103" s="71" t="n">
        <v>193.53</v>
      </c>
      <c r="I103" s="69" t="n">
        <v>774</v>
      </c>
      <c r="J103" s="69" t="n">
        <v>662</v>
      </c>
      <c r="K103" s="67" t="inlineStr">
        <is>
          <t>7-day click or 1-day view</t>
        </is>
      </c>
      <c r="L103" s="67" t="inlineStr">
        <is>
          <t>-</t>
        </is>
      </c>
      <c r="M103" s="67" t="inlineStr">
        <is>
          <t>-</t>
        </is>
      </c>
      <c r="N103" s="67" t="inlineStr">
        <is>
          <t>-</t>
        </is>
      </c>
      <c r="O103" s="72">
        <f>IFERROR($H103/$I$52,"n/a")</f>
        <v/>
      </c>
      <c r="P103" s="69">
        <f>COUNTIFS(Data_MeetingScheduled!$C$2:$C$200,$A103,Data_MeetingScheduled!$D$2:$D$200,$B103,Data_MeetingScheduled!$E$2:$E$200,$C103)</f>
        <v/>
      </c>
      <c r="Q103" s="72">
        <f>IFERROR($P103/Data_MeetingScheduled!$J$2,"n/a")</f>
        <v/>
      </c>
      <c r="R103" s="69" t="n">
        <v>3</v>
      </c>
      <c r="S103" s="73">
        <f>IFERROR($R103/$I103,"n/a")</f>
        <v/>
      </c>
      <c r="T103" s="72">
        <f>IFERROR($R103/$I103,"n/a")</f>
        <v/>
      </c>
      <c r="U103" s="69">
        <f>COUNTIFS(Data_CRM!$B$2:$B$1694,$A103,Data_CRM!$C$2:$C$1694,$B103,Data_CRM!$D$2:$D$1694,$C103)</f>
        <v/>
      </c>
      <c r="V103" s="69">
        <f>COUNTIFS(Data_CRM!$B$2:$B$1694,$A103,Data_CRM!$C$2:$C$1694,$B103,Data_CRM!$D$2:$D$1694,$C103,Data_CRM!$F$2:$F$1694,1)</f>
        <v/>
      </c>
      <c r="W103" s="70">
        <f>IFERROR($H103/$V103,"n/a")</f>
        <v/>
      </c>
      <c r="X103" s="72">
        <f>IFERROR(IF($U103=0,"n/a",$V103/$U103),"n/a")</f>
        <v/>
      </c>
    </row>
    <row r="104" ht="14.25" customHeight="1" s="54">
      <c r="A104" s="75" t="inlineStr">
        <is>
          <t>Subtotal — Business Interest Signature Stores_FICO</t>
        </is>
      </c>
      <c r="B104" s="95" t="n"/>
      <c r="C104" s="94" t="n"/>
      <c r="D104" s="103" t="n"/>
      <c r="E104" s="76">
        <f>SUM(E86:E103)</f>
        <v/>
      </c>
      <c r="F104" s="103" t="n"/>
      <c r="H104" s="78">
        <f>SUM(H86:H103)</f>
        <v/>
      </c>
      <c r="I104" s="76">
        <f>SUM(I86:I103)</f>
        <v/>
      </c>
      <c r="J104" s="76">
        <f>SUM(J86:J103)</f>
        <v/>
      </c>
      <c r="K104" s="103" t="n"/>
      <c r="L104" s="103" t="n"/>
      <c r="M104" s="103" t="n"/>
      <c r="N104" s="103" t="n"/>
      <c r="O104" s="79">
        <f>SUM(O86:O103)</f>
        <v/>
      </c>
      <c r="P104" s="76">
        <f>SUM(P86:P103)</f>
        <v/>
      </c>
      <c r="Q104" s="79">
        <f>IFERROR($P104/Data_MeetingScheduled!$J$2,"n/a")</f>
        <v/>
      </c>
      <c r="R104" s="76">
        <f>SUM(R86:R103)</f>
        <v/>
      </c>
      <c r="S104" s="80">
        <f>IFERROR($R104/$I104,"n/a")</f>
        <v/>
      </c>
      <c r="T104" s="79">
        <f>IFERROR($R104/$I104,"n/a")</f>
        <v/>
      </c>
      <c r="U104" s="76">
        <f>SUM(U86:U103)</f>
        <v/>
      </c>
      <c r="V104" s="76">
        <f>SUM(V86:V103)</f>
        <v/>
      </c>
      <c r="W104" s="77">
        <f>IFERROR($H104/$V104,"n/a")</f>
        <v/>
      </c>
      <c r="X104" s="79">
        <f>IFERROR(IF($U104=0,"n/a",$V104/$U104),"n/a")</f>
        <v/>
      </c>
    </row>
    <row r="105" ht="14.25" customHeight="1" s="54">
      <c r="A105" s="93" t="inlineStr">
        <is>
          <t>Andromeda_CBO_Signature Store_FICO_Daewoo_SO</t>
        </is>
      </c>
      <c r="B105" s="93" t="inlineStr">
        <is>
          <t>HHI Pan India With Exclusions Signature Stores_FICO</t>
        </is>
      </c>
      <c r="C105" s="68" t="inlineStr">
        <is>
          <t>Signature_Store_OCT_SO</t>
        </is>
      </c>
      <c r="D105" s="67" t="inlineStr">
        <is>
          <t>active</t>
        </is>
      </c>
      <c r="E105" s="69" t="n">
        <v>31</v>
      </c>
      <c r="F105" s="67" t="inlineStr">
        <is>
          <t>actions:leadgen.other</t>
        </is>
      </c>
      <c r="G105" s="70">
        <f>IFERROR($H105/$E105,"n/a")</f>
        <v/>
      </c>
      <c r="H105" s="71" t="n">
        <v>16371.59</v>
      </c>
      <c r="I105" s="69" t="n">
        <v>63960</v>
      </c>
      <c r="J105" s="69" t="n">
        <v>44687</v>
      </c>
      <c r="K105" s="67" t="inlineStr">
        <is>
          <t>7-day click or 1-day view</t>
        </is>
      </c>
      <c r="L105" s="67" t="inlineStr">
        <is>
          <t>-</t>
        </is>
      </c>
      <c r="M105" s="67" t="inlineStr">
        <is>
          <t>-</t>
        </is>
      </c>
      <c r="N105" s="67" t="inlineStr">
        <is>
          <t>-</t>
        </is>
      </c>
      <c r="O105" s="72">
        <f>IFERROR($H105/$I$53,"n/a")</f>
        <v/>
      </c>
      <c r="P105" s="69">
        <f>COUNTIFS(Data_MeetingScheduled!$C$2:$C$200,$A105,Data_MeetingScheduled!$D$2:$D$200,$B105,Data_MeetingScheduled!$E$2:$E$200,$C105)</f>
        <v/>
      </c>
      <c r="Q105" s="72">
        <f>IFERROR($P105/Data_MeetingScheduled!$J$2,"n/a")</f>
        <v/>
      </c>
      <c r="R105" s="69" t="n">
        <v>382</v>
      </c>
      <c r="S105" s="73">
        <f>IFERROR($R105/$I105,"n/a")</f>
        <v/>
      </c>
      <c r="T105" s="72">
        <f>IFERROR($R105/$I105,"n/a")</f>
        <v/>
      </c>
      <c r="U105" s="69">
        <f>COUNTIFS(Data_CRM!$B$2:$B$1694,$A105,Data_CRM!$C$2:$C$1694,$B105,Data_CRM!$D$2:$D$1694,$C105)</f>
        <v/>
      </c>
      <c r="V105" s="69">
        <f>COUNTIFS(Data_CRM!$B$2:$B$1694,$A105,Data_CRM!$C$2:$C$1694,$B105,Data_CRM!$D$2:$D$1694,$C105,Data_CRM!$F$2:$F$1694,1)</f>
        <v/>
      </c>
      <c r="W105" s="70">
        <f>IFERROR($H105/$V105,"n/a")</f>
        <v/>
      </c>
      <c r="X105" s="72">
        <f>IFERROR(IF($U105=0,"n/a",$V105/$U105),"n/a")</f>
        <v/>
      </c>
    </row>
    <row r="106" ht="14.25" customHeight="1" s="54">
      <c r="A106" s="93" t="inlineStr">
        <is>
          <t>Andromeda_CBO_Signature Store_FICO_Daewoo_SO</t>
        </is>
      </c>
      <c r="B106" s="93" t="inlineStr">
        <is>
          <t>HHI Pan India With Exclusions Signature Stores_FICO</t>
        </is>
      </c>
      <c r="C106" s="68" t="inlineStr">
        <is>
          <t>Signature Store_SO</t>
        </is>
      </c>
      <c r="D106" s="67" t="inlineStr">
        <is>
          <t>active</t>
        </is>
      </c>
      <c r="E106" s="69" t="n">
        <v>364</v>
      </c>
      <c r="F106" s="67" t="inlineStr">
        <is>
          <t>actions:leadgen.other</t>
        </is>
      </c>
      <c r="G106" s="70">
        <f>IFERROR($H106/$E106,"n/a")</f>
        <v/>
      </c>
      <c r="H106" s="71" t="n">
        <v>174808.13</v>
      </c>
      <c r="I106" s="69" t="n">
        <v>1008172</v>
      </c>
      <c r="J106" s="69" t="n">
        <v>428606</v>
      </c>
      <c r="K106" s="67" t="inlineStr">
        <is>
          <t>7-day click or 1-day view</t>
        </is>
      </c>
      <c r="L106" s="67" t="inlineStr">
        <is>
          <t>-</t>
        </is>
      </c>
      <c r="M106" s="67" t="inlineStr">
        <is>
          <t>-</t>
        </is>
      </c>
      <c r="N106" s="67" t="inlineStr">
        <is>
          <t>-</t>
        </is>
      </c>
      <c r="O106" s="72">
        <f>IFERROR($H106/$I$53,"n/a")</f>
        <v/>
      </c>
      <c r="P106" s="69">
        <f>COUNTIFS(Data_MeetingScheduled!$C$2:$C$200,$A106,Data_MeetingScheduled!$D$2:$D$200,$B106,Data_MeetingScheduled!$E$2:$E$200,$C106)</f>
        <v/>
      </c>
      <c r="Q106" s="72">
        <f>IFERROR($P106/Data_MeetingScheduled!$J$2,"n/a")</f>
        <v/>
      </c>
      <c r="R106" s="69" t="n">
        <v>6157</v>
      </c>
      <c r="S106" s="73">
        <f>IFERROR($R106/$I106,"n/a")</f>
        <v/>
      </c>
      <c r="T106" s="72">
        <f>IFERROR($R106/$I106,"n/a")</f>
        <v/>
      </c>
      <c r="U106" s="69">
        <f>COUNTIFS(Data_CRM!$B$2:$B$1694,$A106,Data_CRM!$C$2:$C$1694,$B106,Data_CRM!$D$2:$D$1694,$C106)</f>
        <v/>
      </c>
      <c r="V106" s="69">
        <f>COUNTIFS(Data_CRM!$B$2:$B$1694,$A106,Data_CRM!$C$2:$C$1694,$B106,Data_CRM!$D$2:$D$1694,$C106,Data_CRM!$F$2:$F$1694,1)</f>
        <v/>
      </c>
      <c r="W106" s="70">
        <f>IFERROR($H106/$V106,"n/a")</f>
        <v/>
      </c>
      <c r="X106" s="72">
        <f>IFERROR(IF($U106=0,"n/a",$V106/$U106),"n/a")</f>
        <v/>
      </c>
    </row>
    <row r="107" ht="14.25" customHeight="1" s="54">
      <c r="A107" s="93" t="inlineStr">
        <is>
          <t>Andromeda_CBO_Signature Store_FICO_Daewoo_SO</t>
        </is>
      </c>
      <c r="B107" s="93" t="inlineStr">
        <is>
          <t>HHI Pan India With Exclusions Signature Stores_FICO</t>
        </is>
      </c>
      <c r="C107" s="68" t="inlineStr">
        <is>
          <t>Signature_Store_160_Glass_SO</t>
        </is>
      </c>
      <c r="D107" s="67" t="inlineStr">
        <is>
          <t>active</t>
        </is>
      </c>
      <c r="E107" s="69" t="n">
        <v>424</v>
      </c>
      <c r="F107" s="67" t="inlineStr">
        <is>
          <t>actions:leadgen.other</t>
        </is>
      </c>
      <c r="G107" s="70">
        <f>IFERROR($H107/$E107,"n/a")</f>
        <v/>
      </c>
      <c r="H107" s="71" t="n">
        <v>230022.44</v>
      </c>
      <c r="I107" s="69" t="n">
        <v>1860027</v>
      </c>
      <c r="J107" s="69" t="n">
        <v>874490</v>
      </c>
      <c r="K107" s="67" t="inlineStr">
        <is>
          <t>7-day click or 1-day view</t>
        </is>
      </c>
      <c r="L107" s="67" t="inlineStr">
        <is>
          <t>-</t>
        </is>
      </c>
      <c r="M107" s="67" t="inlineStr">
        <is>
          <t>-</t>
        </is>
      </c>
      <c r="N107" s="67" t="inlineStr">
        <is>
          <t>-</t>
        </is>
      </c>
      <c r="O107" s="72">
        <f>IFERROR($H107/$I$53,"n/a")</f>
        <v/>
      </c>
      <c r="P107" s="69">
        <f>COUNTIFS(Data_MeetingScheduled!$C$2:$C$200,$A107,Data_MeetingScheduled!$D$2:$D$200,$B107,Data_MeetingScheduled!$E$2:$E$200,$C107)</f>
        <v/>
      </c>
      <c r="Q107" s="72">
        <f>IFERROR($P107/Data_MeetingScheduled!$J$2,"n/a")</f>
        <v/>
      </c>
      <c r="R107" s="69" t="n">
        <v>8247</v>
      </c>
      <c r="S107" s="73">
        <f>IFERROR($R107/$I107,"n/a")</f>
        <v/>
      </c>
      <c r="T107" s="72">
        <f>IFERROR($R107/$I107,"n/a")</f>
        <v/>
      </c>
      <c r="U107" s="69">
        <f>COUNTIFS(Data_CRM!$B$2:$B$1694,$A107,Data_CRM!$C$2:$C$1694,$B107,Data_CRM!$D$2:$D$1694,$C107)</f>
        <v/>
      </c>
      <c r="V107" s="69">
        <f>COUNTIFS(Data_CRM!$B$2:$B$1694,$A107,Data_CRM!$C$2:$C$1694,$B107,Data_CRM!$D$2:$D$1694,$C107,Data_CRM!$F$2:$F$1694,1)</f>
        <v/>
      </c>
      <c r="W107" s="70">
        <f>IFERROR($H107/$V107,"n/a")</f>
        <v/>
      </c>
      <c r="X107" s="72">
        <f>IFERROR(IF($U107=0,"n/a",$V107/$U107),"n/a")</f>
        <v/>
      </c>
    </row>
    <row r="108" ht="14.25" customHeight="1" s="54">
      <c r="A108" s="93" t="inlineStr">
        <is>
          <t>Andromeda_CBO_Signature Store_FICO_Daewoo_SO</t>
        </is>
      </c>
      <c r="B108" s="93" t="inlineStr">
        <is>
          <t>HHI Pan India With Exclusions Signature Stores_FICO</t>
        </is>
      </c>
      <c r="C108" s="68" t="inlineStr">
        <is>
          <t>Reel – V1_Signature_Store_FICO</t>
        </is>
      </c>
      <c r="D108" s="67" t="inlineStr">
        <is>
          <t>active</t>
        </is>
      </c>
      <c r="E108" s="69" t="n">
        <v>49</v>
      </c>
      <c r="F108" s="67" t="inlineStr">
        <is>
          <t>actions:leadgen.other</t>
        </is>
      </c>
      <c r="G108" s="70">
        <f>IFERROR($H108/$E108,"n/a")</f>
        <v/>
      </c>
      <c r="H108" s="71" t="n">
        <v>22638.41</v>
      </c>
      <c r="I108" s="69" t="n">
        <v>66997</v>
      </c>
      <c r="J108" s="69" t="n">
        <v>46060</v>
      </c>
      <c r="K108" s="67" t="inlineStr">
        <is>
          <t>7-day click or 1-day view</t>
        </is>
      </c>
      <c r="L108" s="67" t="inlineStr">
        <is>
          <t>Average</t>
        </is>
      </c>
      <c r="M108" s="67" t="inlineStr">
        <is>
          <t>Below average – bottom 10% of ads</t>
        </is>
      </c>
      <c r="N108" s="67" t="inlineStr">
        <is>
          <t>Below average – bottom 10% of ads</t>
        </is>
      </c>
      <c r="O108" s="72">
        <f>IFERROR($H108/$I$53,"n/a")</f>
        <v/>
      </c>
      <c r="P108" s="69">
        <f>COUNTIFS(Data_MeetingScheduled!$C$2:$C$200,$A108,Data_MeetingScheduled!$D$2:$D$200,$B108,Data_MeetingScheduled!$E$2:$E$200,$C108)</f>
        <v/>
      </c>
      <c r="Q108" s="72">
        <f>IFERROR($P108/Data_MeetingScheduled!$J$2,"n/a")</f>
        <v/>
      </c>
      <c r="R108" s="69" t="n">
        <v>538</v>
      </c>
      <c r="S108" s="73">
        <f>IFERROR($R108/$I108,"n/a")</f>
        <v/>
      </c>
      <c r="T108" s="72">
        <f>IFERROR($R108/$I108,"n/a")</f>
        <v/>
      </c>
      <c r="U108" s="69">
        <f>COUNTIFS(Data_CRM!$B$2:$B$1694,$A108,Data_CRM!$C$2:$C$1694,$B108,Data_CRM!$D$2:$D$1694,$C108)</f>
        <v/>
      </c>
      <c r="V108" s="69">
        <f>COUNTIFS(Data_CRM!$B$2:$B$1694,$A108,Data_CRM!$C$2:$C$1694,$B108,Data_CRM!$D$2:$D$1694,$C108,Data_CRM!$F$2:$F$1694,1)</f>
        <v/>
      </c>
      <c r="W108" s="70">
        <f>IFERROR($H108/$V108,"n/a")</f>
        <v/>
      </c>
      <c r="X108" s="72">
        <f>IFERROR(IF($U108=0,"n/a",$V108/$U108),"n/a")</f>
        <v/>
      </c>
    </row>
    <row r="109" ht="14.25" customHeight="1" s="54">
      <c r="A109" s="75" t="inlineStr">
        <is>
          <t>Subtotal — HHI Pan India With Exclusions Signature Stores_FICO</t>
        </is>
      </c>
      <c r="B109" s="95" t="n"/>
      <c r="C109" s="94" t="n"/>
      <c r="D109" s="103" t="n"/>
      <c r="E109" s="76">
        <f>SUM(E105:E108)</f>
        <v/>
      </c>
      <c r="F109" s="103" t="n"/>
      <c r="H109" s="78">
        <f>SUM(H105:H108)</f>
        <v/>
      </c>
      <c r="I109" s="76">
        <f>SUM(I105:I108)</f>
        <v/>
      </c>
      <c r="J109" s="76">
        <f>SUM(J105:J108)</f>
        <v/>
      </c>
      <c r="K109" s="103" t="n"/>
      <c r="L109" s="103" t="n"/>
      <c r="M109" s="103" t="n"/>
      <c r="N109" s="103" t="n"/>
      <c r="O109" s="79">
        <f>SUM(O105:O108)</f>
        <v/>
      </c>
      <c r="P109" s="76">
        <f>SUM(P105:P108)</f>
        <v/>
      </c>
      <c r="Q109" s="79">
        <f>IFERROR($P109/Data_MeetingScheduled!$J$2,"n/a")</f>
        <v/>
      </c>
      <c r="R109" s="76">
        <f>SUM(R105:R108)</f>
        <v/>
      </c>
      <c r="S109" s="80">
        <f>IFERROR($R109/$I109,"n/a")</f>
        <v/>
      </c>
      <c r="T109" s="79">
        <f>IFERROR($R109/$I109,"n/a")</f>
        <v/>
      </c>
      <c r="U109" s="76">
        <f>SUM(U105:U108)</f>
        <v/>
      </c>
      <c r="V109" s="76">
        <f>SUM(V105:V108)</f>
        <v/>
      </c>
      <c r="W109" s="77">
        <f>IFERROR($H109/$V109,"n/a")</f>
        <v/>
      </c>
      <c r="X109" s="79">
        <f>IFERROR(IF($U109=0,"n/a",$V109/$U109),"n/a")</f>
        <v/>
      </c>
    </row>
    <row r="110" ht="14.25" customHeight="1" s="54">
      <c r="A110" s="93" t="inlineStr">
        <is>
          <t>META_CustomData_MOFU_STOCKIST_Leadgen</t>
        </is>
      </c>
      <c r="B110" s="93" t="inlineStr">
        <is>
          <t>Client Custom Data_Stockist</t>
        </is>
      </c>
      <c r="C110" s="68" t="inlineStr">
        <is>
          <t>Stockist_IMG_3.5_Limited_All Large_SO</t>
        </is>
      </c>
      <c r="D110" s="67" t="inlineStr">
        <is>
          <t>active</t>
        </is>
      </c>
      <c r="E110" s="69" t="n">
        <v>15</v>
      </c>
      <c r="F110" s="67" t="inlineStr">
        <is>
          <t>actions:leadgen.other</t>
        </is>
      </c>
      <c r="G110" s="70">
        <f>IFERROR($H110/$E110,"n/a")</f>
        <v/>
      </c>
      <c r="H110" s="71" t="n">
        <v>7962.14</v>
      </c>
      <c r="I110" s="69" t="n">
        <v>6301</v>
      </c>
      <c r="J110" s="69" t="n">
        <v>2549</v>
      </c>
      <c r="K110" s="67" t="inlineStr">
        <is>
          <t>7-day click or 1-day view</t>
        </is>
      </c>
      <c r="L110" s="67" t="inlineStr">
        <is>
          <t>-</t>
        </is>
      </c>
      <c r="M110" s="67" t="inlineStr">
        <is>
          <t>-</t>
        </is>
      </c>
      <c r="N110" s="67" t="inlineStr">
        <is>
          <t>-</t>
        </is>
      </c>
      <c r="O110" s="72">
        <f>IFERROR($H110/$I$55,"n/a")</f>
        <v/>
      </c>
      <c r="P110" s="69">
        <f>COUNTIFS(Data_MeetingScheduled!$C$2:$C$200,$A110,Data_MeetingScheduled!$D$2:$D$200,$B110,Data_MeetingScheduled!$E$2:$E$200,$C110)</f>
        <v/>
      </c>
      <c r="Q110" s="72">
        <f>IFERROR($P110/Data_MeetingScheduled!$J$2,"n/a")</f>
        <v/>
      </c>
      <c r="R110" s="69" t="n">
        <v>60</v>
      </c>
      <c r="S110" s="73">
        <f>IFERROR($R110/$I110,"n/a")</f>
        <v/>
      </c>
      <c r="T110" s="72">
        <f>IFERROR($R110/$I110,"n/a")</f>
        <v/>
      </c>
      <c r="U110" s="69">
        <f>COUNTIFS(Data_CRM!$B$2:$B$1694,$A110,Data_CRM!$C$2:$C$1694,$B110,Data_CRM!$D$2:$D$1694,$C110)</f>
        <v/>
      </c>
      <c r="V110" s="69">
        <f>COUNTIFS(Data_CRM!$B$2:$B$1694,$A110,Data_CRM!$C$2:$C$1694,$B110,Data_CRM!$D$2:$D$1694,$C110,Data_CRM!$F$2:$F$1694,1)</f>
        <v/>
      </c>
      <c r="W110" s="70">
        <f>IFERROR($H110/$V110,"n/a")</f>
        <v/>
      </c>
      <c r="X110" s="72">
        <f>IFERROR(IF($U110=0,"n/a",$V110/$U110),"n/a")</f>
        <v/>
      </c>
    </row>
    <row r="111" ht="14.25" customHeight="1" s="54">
      <c r="A111" s="75" t="inlineStr">
        <is>
          <t>Subtotal — Client Custom Data_Stockist</t>
        </is>
      </c>
      <c r="B111" s="95" t="n"/>
      <c r="C111" s="94" t="n"/>
      <c r="D111" s="103" t="n"/>
      <c r="E111" s="76">
        <f>SUM(E110:E110)</f>
        <v/>
      </c>
      <c r="F111" s="103" t="n"/>
      <c r="H111" s="78">
        <f>SUM(H110:H110)</f>
        <v/>
      </c>
      <c r="I111" s="76">
        <f>SUM(I110:I110)</f>
        <v/>
      </c>
      <c r="J111" s="76">
        <f>SUM(J110:J110)</f>
        <v/>
      </c>
      <c r="K111" s="103" t="n"/>
      <c r="L111" s="103" t="n"/>
      <c r="M111" s="103" t="n"/>
      <c r="N111" s="103" t="n"/>
      <c r="O111" s="79">
        <f>SUM(O110:O110)</f>
        <v/>
      </c>
      <c r="P111" s="76">
        <f>SUM(P110:P110)</f>
        <v/>
      </c>
      <c r="Q111" s="79">
        <f>IFERROR($P111/Data_MeetingScheduled!$J$2,"n/a")</f>
        <v/>
      </c>
      <c r="R111" s="76">
        <f>SUM(R110:R110)</f>
        <v/>
      </c>
      <c r="S111" s="80">
        <f>IFERROR($R111/$I111,"n/a")</f>
        <v/>
      </c>
      <c r="T111" s="79">
        <f>IFERROR($R111/$I111,"n/a")</f>
        <v/>
      </c>
      <c r="U111" s="76">
        <f>SUM(U110:U110)</f>
        <v/>
      </c>
      <c r="V111" s="76">
        <f>SUM(V110:V110)</f>
        <v/>
      </c>
      <c r="W111" s="77">
        <f>IFERROR($H111/$V111,"n/a")</f>
        <v/>
      </c>
      <c r="X111" s="79">
        <f>IFERROR(IF($U111=0,"n/a",$V111/$U111),"n/a")</f>
        <v/>
      </c>
    </row>
    <row r="112" ht="14.25" customHeight="1" s="54">
      <c r="A112" s="93" t="inlineStr">
        <is>
          <t>META_CustomData_MOFU_STOCKIST_Leadgen</t>
        </is>
      </c>
      <c r="B112" s="93" t="inlineStr">
        <is>
          <t>LAL_1%_Client Data_Stockist</t>
        </is>
      </c>
      <c r="C112" s="68" t="inlineStr">
        <is>
          <t>Stockist_Reel</t>
        </is>
      </c>
      <c r="D112" s="67" t="inlineStr">
        <is>
          <t>active</t>
        </is>
      </c>
      <c r="E112" s="69" t="n">
        <v>204</v>
      </c>
      <c r="F112" s="67" t="inlineStr">
        <is>
          <t>actions:leadgen.other</t>
        </is>
      </c>
      <c r="G112" s="70">
        <f>IFERROR($H112/$E112,"n/a")</f>
        <v/>
      </c>
      <c r="H112" s="71" t="n">
        <v>191426.3</v>
      </c>
      <c r="I112" s="69" t="n">
        <v>474667</v>
      </c>
      <c r="J112" s="69" t="n">
        <v>284877</v>
      </c>
      <c r="K112" s="67" t="inlineStr">
        <is>
          <t>7-day click or 1-day view</t>
        </is>
      </c>
      <c r="L112" s="67" t="inlineStr">
        <is>
          <t>Above average</t>
        </is>
      </c>
      <c r="M112" s="67" t="inlineStr">
        <is>
          <t>Below average – bottom 10% of ads</t>
        </is>
      </c>
      <c r="N112" s="67" t="inlineStr">
        <is>
          <t>Below average – bottom 10% of ads</t>
        </is>
      </c>
      <c r="O112" s="72">
        <f>IFERROR($H112/$I$56,"n/a")</f>
        <v/>
      </c>
      <c r="P112" s="69">
        <f>COUNTIFS(Data_MeetingScheduled!$C$2:$C$200,$A112,Data_MeetingScheduled!$D$2:$D$200,$B112,Data_MeetingScheduled!$E$2:$E$200,$C112)</f>
        <v/>
      </c>
      <c r="Q112" s="72">
        <f>IFERROR($P112/Data_MeetingScheduled!$J$2,"n/a")</f>
        <v/>
      </c>
      <c r="R112" s="69" t="n">
        <v>2763</v>
      </c>
      <c r="S112" s="73">
        <f>IFERROR($R112/$I112,"n/a")</f>
        <v/>
      </c>
      <c r="T112" s="72">
        <f>IFERROR($R112/$I112,"n/a")</f>
        <v/>
      </c>
      <c r="U112" s="69">
        <f>COUNTIFS(Data_CRM!$B$2:$B$1694,$A112,Data_CRM!$C$2:$C$1694,$B112,Data_CRM!$D$2:$D$1694,$C112)</f>
        <v/>
      </c>
      <c r="V112" s="69">
        <f>COUNTIFS(Data_CRM!$B$2:$B$1694,$A112,Data_CRM!$C$2:$C$1694,$B112,Data_CRM!$D$2:$D$1694,$C112,Data_CRM!$F$2:$F$1694,1)</f>
        <v/>
      </c>
      <c r="W112" s="70">
        <f>IFERROR($H112/$V112,"n/a")</f>
        <v/>
      </c>
      <c r="X112" s="72">
        <f>IFERROR(IF($U112=0,"n/a",$V112/$U112),"n/a")</f>
        <v/>
      </c>
    </row>
    <row r="113" ht="14.25" customHeight="1" s="54">
      <c r="A113" s="93" t="inlineStr">
        <is>
          <t>META_CustomData_MOFU_STOCKIST_Leadgen</t>
        </is>
      </c>
      <c r="B113" s="93" t="inlineStr">
        <is>
          <t>LAL_1%_Client Data_Stockist</t>
        </is>
      </c>
      <c r="C113" s="68" t="inlineStr">
        <is>
          <t>Stockist_IMG_3.5_Limited_All Large_SO</t>
        </is>
      </c>
      <c r="D113" s="67" t="inlineStr">
        <is>
          <t>active</t>
        </is>
      </c>
      <c r="E113" s="69" t="n">
        <v>126</v>
      </c>
      <c r="F113" s="67" t="inlineStr">
        <is>
          <t>actions:leadgen.other</t>
        </is>
      </c>
      <c r="G113" s="70">
        <f>IFERROR($H113/$E113,"n/a")</f>
        <v/>
      </c>
      <c r="H113" s="71" t="n">
        <v>139358.65</v>
      </c>
      <c r="I113" s="69" t="n">
        <v>381741</v>
      </c>
      <c r="J113" s="69" t="n">
        <v>166773</v>
      </c>
      <c r="K113" s="67" t="inlineStr">
        <is>
          <t>7-day click or 1-day view</t>
        </is>
      </c>
      <c r="L113" s="67" t="inlineStr">
        <is>
          <t>-</t>
        </is>
      </c>
      <c r="M113" s="67" t="inlineStr">
        <is>
          <t>-</t>
        </is>
      </c>
      <c r="N113" s="67" t="inlineStr">
        <is>
          <t>-</t>
        </is>
      </c>
      <c r="O113" s="72">
        <f>IFERROR($H113/$I$56,"n/a")</f>
        <v/>
      </c>
      <c r="P113" s="69">
        <f>COUNTIFS(Data_MeetingScheduled!$C$2:$C$200,$A113,Data_MeetingScheduled!$D$2:$D$200,$B113,Data_MeetingScheduled!$E$2:$E$200,$C113)</f>
        <v/>
      </c>
      <c r="Q113" s="72">
        <f>IFERROR($P113/Data_MeetingScheduled!$J$2,"n/a")</f>
        <v/>
      </c>
      <c r="R113" s="69" t="n">
        <v>2243</v>
      </c>
      <c r="S113" s="73">
        <f>IFERROR($R113/$I113,"n/a")</f>
        <v/>
      </c>
      <c r="T113" s="72">
        <f>IFERROR($R113/$I113,"n/a")</f>
        <v/>
      </c>
      <c r="U113" s="69">
        <f>COUNTIFS(Data_CRM!$B$2:$B$1694,$A113,Data_CRM!$C$2:$C$1694,$B113,Data_CRM!$D$2:$D$1694,$C113)</f>
        <v/>
      </c>
      <c r="V113" s="69">
        <f>COUNTIFS(Data_CRM!$B$2:$B$1694,$A113,Data_CRM!$C$2:$C$1694,$B113,Data_CRM!$D$2:$D$1694,$C113,Data_CRM!$F$2:$F$1694,1)</f>
        <v/>
      </c>
      <c r="W113" s="70">
        <f>IFERROR($H113/$V113,"n/a")</f>
        <v/>
      </c>
      <c r="X113" s="72">
        <f>IFERROR(IF($U113=0,"n/a",$V113/$U113),"n/a")</f>
        <v/>
      </c>
    </row>
    <row r="114" ht="14.25" customHeight="1" s="54">
      <c r="A114" s="75" t="inlineStr">
        <is>
          <t>Subtotal — LAL_1%_Client Data_Stockist</t>
        </is>
      </c>
      <c r="B114" s="95" t="n"/>
      <c r="C114" s="94" t="n"/>
      <c r="D114" s="103" t="n"/>
      <c r="E114" s="76">
        <f>SUM(E112:E113)</f>
        <v/>
      </c>
      <c r="F114" s="103" t="n"/>
      <c r="H114" s="78">
        <f>SUM(H112:H113)</f>
        <v/>
      </c>
      <c r="I114" s="76">
        <f>SUM(I112:I113)</f>
        <v/>
      </c>
      <c r="J114" s="76">
        <f>SUM(J112:J113)</f>
        <v/>
      </c>
      <c r="K114" s="103" t="n"/>
      <c r="L114" s="103" t="n"/>
      <c r="M114" s="103" t="n"/>
      <c r="N114" s="103" t="n"/>
      <c r="O114" s="79">
        <f>SUM(O112:O113)</f>
        <v/>
      </c>
      <c r="P114" s="76">
        <f>SUM(P112:P113)</f>
        <v/>
      </c>
      <c r="Q114" s="79">
        <f>IFERROR($P114/Data_MeetingScheduled!$J$2,"n/a")</f>
        <v/>
      </c>
      <c r="R114" s="76">
        <f>SUM(R112:R113)</f>
        <v/>
      </c>
      <c r="S114" s="80">
        <f>IFERROR($R114/$I114,"n/a")</f>
        <v/>
      </c>
      <c r="T114" s="79">
        <f>IFERROR($R114/$I114,"n/a")</f>
        <v/>
      </c>
      <c r="U114" s="76">
        <f>SUM(U112:U113)</f>
        <v/>
      </c>
      <c r="V114" s="76">
        <f>SUM(V112:V113)</f>
        <v/>
      </c>
      <c r="W114" s="77">
        <f>IFERROR($H114/$V114,"n/a")</f>
        <v/>
      </c>
      <c r="X114" s="79">
        <f>IFERROR(IF($U114=0,"n/a",$V114/$U114),"n/a")</f>
        <v/>
      </c>
    </row>
    <row r="115" ht="14.25" customHeight="1" s="54">
      <c r="A115" s="93" t="inlineStr">
        <is>
          <t>META_CustomData_MOFU_Leadgen – Signature FICO</t>
        </is>
      </c>
      <c r="B115" s="93" t="inlineStr">
        <is>
          <t>Client Custom Data_Signature Store FICO</t>
        </is>
      </c>
      <c r="C115" s="68" t="inlineStr">
        <is>
          <t>Signature_Store_OCT_SO</t>
        </is>
      </c>
      <c r="D115" s="67" t="inlineStr">
        <is>
          <t>not_delivering</t>
        </is>
      </c>
      <c r="E115" s="69" t="n"/>
      <c r="F115" s="67" t="n"/>
      <c r="G115" s="70">
        <f>IFERROR($H115/$E115,"n/a")</f>
        <v/>
      </c>
      <c r="H115" s="71" t="n">
        <v>0</v>
      </c>
      <c r="I115" s="69" t="n">
        <v>0</v>
      </c>
      <c r="J115" s="69" t="n">
        <v>0</v>
      </c>
      <c r="K115" s="67" t="inlineStr">
        <is>
          <t>-</t>
        </is>
      </c>
      <c r="L115" s="67" t="inlineStr">
        <is>
          <t>-</t>
        </is>
      </c>
      <c r="M115" s="67" t="inlineStr">
        <is>
          <t>-</t>
        </is>
      </c>
      <c r="N115" s="67" t="inlineStr">
        <is>
          <t>-</t>
        </is>
      </c>
      <c r="O115" s="72">
        <f>IFERROR($H115/$I$68,"n/a")</f>
        <v/>
      </c>
      <c r="P115" s="69">
        <f>COUNTIFS(Data_MeetingScheduled!$C$2:$C$200,$A115,Data_MeetingScheduled!$D$2:$D$200,$B115,Data_MeetingScheduled!$E$2:$E$200,$C115)</f>
        <v/>
      </c>
      <c r="Q115" s="72">
        <f>IFERROR($P115/Data_MeetingScheduled!$J$2,"n/a")</f>
        <v/>
      </c>
      <c r="R115" s="69" t="n"/>
      <c r="S115" s="73">
        <f>IFERROR($R115/$I115,"n/a")</f>
        <v/>
      </c>
      <c r="T115" s="72">
        <f>IFERROR($R115/$I115,"n/a")</f>
        <v/>
      </c>
      <c r="U115" s="69">
        <f>COUNTIFS(Data_CRM!$B$2:$B$1694,$A115,Data_CRM!$C$2:$C$1694,$B115,Data_CRM!$D$2:$D$1694,$C115)</f>
        <v/>
      </c>
      <c r="V115" s="69">
        <f>COUNTIFS(Data_CRM!$B$2:$B$1694,$A115,Data_CRM!$C$2:$C$1694,$B115,Data_CRM!$D$2:$D$1694,$C115,Data_CRM!$F$2:$F$1694,1)</f>
        <v/>
      </c>
      <c r="W115" s="70">
        <f>IFERROR($H115/$V115,"n/a")</f>
        <v/>
      </c>
      <c r="X115" s="72">
        <f>IFERROR(IF($U115=0,"n/a",$V115/$U115),"n/a")</f>
        <v/>
      </c>
    </row>
    <row r="116" ht="14.25" customHeight="1" s="54">
      <c r="A116" s="75" t="inlineStr">
        <is>
          <t>Subtotal — Client Custom Data_Signature Store FICO</t>
        </is>
      </c>
      <c r="B116" s="95" t="n"/>
      <c r="C116" s="94" t="n"/>
      <c r="D116" s="103" t="n"/>
      <c r="E116" s="76">
        <f>SUM(E115:E115)</f>
        <v/>
      </c>
      <c r="F116" s="103" t="n"/>
      <c r="H116" s="78">
        <f>SUM(H115:H115)</f>
        <v/>
      </c>
      <c r="I116" s="76">
        <f>SUM(I115:I115)</f>
        <v/>
      </c>
      <c r="J116" s="76">
        <f>SUM(J115:J115)</f>
        <v/>
      </c>
      <c r="K116" s="103" t="n"/>
      <c r="L116" s="103" t="n"/>
      <c r="M116" s="103" t="n"/>
      <c r="N116" s="103" t="n"/>
      <c r="O116" s="79">
        <f>SUM(O115:O115)</f>
        <v/>
      </c>
      <c r="P116" s="76">
        <f>SUM(P115:P115)</f>
        <v/>
      </c>
      <c r="Q116" s="79">
        <f>IFERROR($P116/Data_MeetingScheduled!$J$2,"n/a")</f>
        <v/>
      </c>
      <c r="R116" s="76">
        <f>SUM(R115:R115)</f>
        <v/>
      </c>
      <c r="S116" s="80">
        <f>IFERROR($R116/$I116,"n/a")</f>
        <v/>
      </c>
      <c r="T116" s="79">
        <f>IFERROR($R116/$I116,"n/a")</f>
        <v/>
      </c>
      <c r="U116" s="76">
        <f>SUM(U115:U115)</f>
        <v/>
      </c>
      <c r="V116" s="76">
        <f>SUM(V115:V115)</f>
        <v/>
      </c>
      <c r="W116" s="77">
        <f>IFERROR($H116/$V116,"n/a")</f>
        <v/>
      </c>
      <c r="X116" s="79">
        <f>IFERROR(IF($U116=0,"n/a",$V116/$U116),"n/a")</f>
        <v/>
      </c>
    </row>
    <row r="117" ht="14.25" customHeight="1" s="54">
      <c r="A117" s="93" t="inlineStr">
        <is>
          <t>META_CustomData_MOFU_Leadgen – Signature FICO</t>
        </is>
      </c>
      <c r="B117" s="93" t="inlineStr">
        <is>
          <t>LAL_1%_Client Data_Signature Store FICO</t>
        </is>
      </c>
      <c r="C117" s="68" t="inlineStr">
        <is>
          <t>Reel – V1_Signature_Store</t>
        </is>
      </c>
      <c r="D117" s="67" t="inlineStr">
        <is>
          <t>active</t>
        </is>
      </c>
      <c r="E117" s="69" t="n">
        <v>97</v>
      </c>
      <c r="F117" s="67" t="inlineStr">
        <is>
          <t>actions:leadgen.other</t>
        </is>
      </c>
      <c r="G117" s="70">
        <f>IFERROR($H117/$E117,"n/a")</f>
        <v/>
      </c>
      <c r="H117" s="71" t="n">
        <v>142745.49</v>
      </c>
      <c r="I117" s="69" t="n">
        <v>285327</v>
      </c>
      <c r="J117" s="69" t="n">
        <v>188498</v>
      </c>
      <c r="K117" s="67" t="inlineStr">
        <is>
          <t>7-day click or 1-day view</t>
        </is>
      </c>
      <c r="L117" s="67" t="inlineStr">
        <is>
          <t>Above average</t>
        </is>
      </c>
      <c r="M117" s="67" t="inlineStr">
        <is>
          <t>Below average – bottom 10% of ads</t>
        </is>
      </c>
      <c r="N117" s="67" t="inlineStr">
        <is>
          <t>Below average – bottom 10% of ads</t>
        </is>
      </c>
      <c r="O117" s="72">
        <f>IFERROR($H117/$I$69,"n/a")</f>
        <v/>
      </c>
      <c r="P117" s="69">
        <f>COUNTIFS(Data_MeetingScheduled!$C$2:$C$200,$A117,Data_MeetingScheduled!$D$2:$D$200,$B117,Data_MeetingScheduled!$E$2:$E$200,$C117)</f>
        <v/>
      </c>
      <c r="Q117" s="72">
        <f>IFERROR($P117/Data_MeetingScheduled!$J$2,"n/a")</f>
        <v/>
      </c>
      <c r="R117" s="69" t="n">
        <v>2229</v>
      </c>
      <c r="S117" s="73">
        <f>IFERROR($R117/$I117,"n/a")</f>
        <v/>
      </c>
      <c r="T117" s="72">
        <f>IFERROR($R117/$I117,"n/a")</f>
        <v/>
      </c>
      <c r="U117" s="69">
        <f>COUNTIFS(Data_CRM!$B$2:$B$1694,$A117,Data_CRM!$C$2:$C$1694,$B117,Data_CRM!$D$2:$D$1694,$C117)</f>
        <v/>
      </c>
      <c r="V117" s="69">
        <f>COUNTIFS(Data_CRM!$B$2:$B$1694,$A117,Data_CRM!$C$2:$C$1694,$B117,Data_CRM!$D$2:$D$1694,$C117,Data_CRM!$F$2:$F$1694,1)</f>
        <v/>
      </c>
      <c r="W117" s="70">
        <f>IFERROR($H117/$V117,"n/a")</f>
        <v/>
      </c>
      <c r="X117" s="72">
        <f>IFERROR(IF($U117=0,"n/a",$V117/$U117),"n/a")</f>
        <v/>
      </c>
    </row>
    <row r="118" ht="14.25" customHeight="1" s="54">
      <c r="A118" s="93" t="inlineStr">
        <is>
          <t>META_CustomData_MOFU_Leadgen – Signature FICO</t>
        </is>
      </c>
      <c r="B118" s="93" t="inlineStr">
        <is>
          <t>LAL_1%_Client Data_Signature Store FICO</t>
        </is>
      </c>
      <c r="C118" s="68" t="inlineStr">
        <is>
          <t>Signature_Store_OCT_SO</t>
        </is>
      </c>
      <c r="D118" s="67" t="inlineStr">
        <is>
          <t>active</t>
        </is>
      </c>
      <c r="E118" s="69" t="n">
        <v>44</v>
      </c>
      <c r="F118" s="67" t="inlineStr">
        <is>
          <t>actions:leadgen.other</t>
        </is>
      </c>
      <c r="G118" s="70">
        <f>IFERROR($H118/$E118,"n/a")</f>
        <v/>
      </c>
      <c r="H118" s="71" t="n">
        <v>51377.85</v>
      </c>
      <c r="I118" s="69" t="n">
        <v>105467</v>
      </c>
      <c r="J118" s="69" t="n">
        <v>53954</v>
      </c>
      <c r="K118" s="67" t="inlineStr">
        <is>
          <t>7-day click or 1-day view</t>
        </is>
      </c>
      <c r="L118" s="67" t="inlineStr">
        <is>
          <t>-</t>
        </is>
      </c>
      <c r="M118" s="67" t="inlineStr">
        <is>
          <t>-</t>
        </is>
      </c>
      <c r="N118" s="67" t="inlineStr">
        <is>
          <t>-</t>
        </is>
      </c>
      <c r="O118" s="72">
        <f>IFERROR($H118/$I$69,"n/a")</f>
        <v/>
      </c>
      <c r="P118" s="69">
        <f>COUNTIFS(Data_MeetingScheduled!$C$2:$C$200,$A118,Data_MeetingScheduled!$D$2:$D$200,$B118,Data_MeetingScheduled!$E$2:$E$200,$C118)</f>
        <v/>
      </c>
      <c r="Q118" s="72">
        <f>IFERROR($P118/Data_MeetingScheduled!$J$2,"n/a")</f>
        <v/>
      </c>
      <c r="R118" s="69" t="n">
        <v>552</v>
      </c>
      <c r="S118" s="73">
        <f>IFERROR($R118/$I118,"n/a")</f>
        <v/>
      </c>
      <c r="T118" s="72">
        <f>IFERROR($R118/$I118,"n/a")</f>
        <v/>
      </c>
      <c r="U118" s="69">
        <f>COUNTIFS(Data_CRM!$B$2:$B$1694,$A118,Data_CRM!$C$2:$C$1694,$B118,Data_CRM!$D$2:$D$1694,$C118)</f>
        <v/>
      </c>
      <c r="V118" s="69">
        <f>COUNTIFS(Data_CRM!$B$2:$B$1694,$A118,Data_CRM!$C$2:$C$1694,$B118,Data_CRM!$D$2:$D$1694,$C118,Data_CRM!$F$2:$F$1694,1)</f>
        <v/>
      </c>
      <c r="W118" s="70">
        <f>IFERROR($H118/$V118,"n/a")</f>
        <v/>
      </c>
      <c r="X118" s="72">
        <f>IFERROR(IF($U118=0,"n/a",$V118/$U118),"n/a")</f>
        <v/>
      </c>
    </row>
    <row r="119" ht="14.25" customHeight="1" s="54">
      <c r="A119" s="75" t="inlineStr">
        <is>
          <t>Subtotal — LAL_1%_Client Data_Signature Store FICO</t>
        </is>
      </c>
      <c r="B119" s="95" t="n"/>
      <c r="C119" s="94" t="n"/>
      <c r="D119" s="103" t="n"/>
      <c r="E119" s="76">
        <f>SUM(E117:E118)</f>
        <v/>
      </c>
      <c r="F119" s="103" t="n"/>
      <c r="H119" s="78">
        <f>SUM(H117:H118)</f>
        <v/>
      </c>
      <c r="I119" s="76">
        <f>SUM(I117:I118)</f>
        <v/>
      </c>
      <c r="J119" s="76">
        <f>SUM(J117:J118)</f>
        <v/>
      </c>
      <c r="K119" s="103" t="n"/>
      <c r="L119" s="103" t="n"/>
      <c r="M119" s="103" t="n"/>
      <c r="N119" s="103" t="n"/>
      <c r="O119" s="79">
        <f>SUM(O117:O118)</f>
        <v/>
      </c>
      <c r="P119" s="76">
        <f>SUM(P117:P118)</f>
        <v/>
      </c>
      <c r="Q119" s="79">
        <f>IFERROR($P119/Data_MeetingScheduled!$J$2,"n/a")</f>
        <v/>
      </c>
      <c r="R119" s="76">
        <f>SUM(R117:R118)</f>
        <v/>
      </c>
      <c r="S119" s="80">
        <f>IFERROR($R119/$I119,"n/a")</f>
        <v/>
      </c>
      <c r="T119" s="79">
        <f>IFERROR($R119/$I119,"n/a")</f>
        <v/>
      </c>
      <c r="U119" s="76">
        <f>SUM(U117:U118)</f>
        <v/>
      </c>
      <c r="V119" s="76">
        <f>SUM(V117:V118)</f>
        <v/>
      </c>
      <c r="W119" s="77">
        <f>IFERROR($H119/$V119,"n/a")</f>
        <v/>
      </c>
      <c r="X119" s="79">
        <f>IFERROR(IF($U119=0,"n/a",$V119/$U119),"n/a")</f>
        <v/>
      </c>
    </row>
    <row r="120" ht="14.25" customHeight="1" s="54">
      <c r="A120" s="93" t="inlineStr">
        <is>
          <t>META_RMKT_Engage_ABO_SO</t>
        </is>
      </c>
      <c r="B120" s="93" t="inlineStr">
        <is>
          <t>CRM_Engagements_Positive</t>
        </is>
      </c>
      <c r="C120" s="68" t="inlineStr">
        <is>
          <t>Stockist Reel Engage</t>
        </is>
      </c>
      <c r="D120" s="67" t="inlineStr">
        <is>
          <t>active</t>
        </is>
      </c>
      <c r="E120" s="69" t="n">
        <v>5</v>
      </c>
      <c r="F120" s="67" t="inlineStr">
        <is>
          <t>total_profile_visits</t>
        </is>
      </c>
      <c r="G120" s="70">
        <f>IFERROR($H120/$E120,"n/a")</f>
        <v/>
      </c>
      <c r="H120" s="71" t="n">
        <v>1618.94</v>
      </c>
      <c r="I120" s="69" t="n">
        <v>1767</v>
      </c>
      <c r="J120" s="69" t="n">
        <v>104</v>
      </c>
      <c r="K120" s="67" t="inlineStr">
        <is>
          <t>1-day click</t>
        </is>
      </c>
      <c r="L120" s="67" t="inlineStr">
        <is>
          <t>-</t>
        </is>
      </c>
      <c r="M120" s="67" t="inlineStr">
        <is>
          <t>-</t>
        </is>
      </c>
      <c r="N120" s="67" t="inlineStr">
        <is>
          <t>-</t>
        </is>
      </c>
      <c r="O120" s="72">
        <f>IFERROR($H120/$I$71,"n/a")</f>
        <v/>
      </c>
      <c r="P120" s="69">
        <f>COUNTIFS(Data_MeetingScheduled!$C$2:$C$200,$A120,Data_MeetingScheduled!$D$2:$D$200,$B120,Data_MeetingScheduled!$E$2:$E$200,$C120)</f>
        <v/>
      </c>
      <c r="Q120" s="72">
        <f>IFERROR($P120/Data_MeetingScheduled!$J$2,"n/a")</f>
        <v/>
      </c>
      <c r="R120" s="69" t="n">
        <v>5</v>
      </c>
      <c r="S120" s="73">
        <f>IFERROR($R120/$I120,"n/a")</f>
        <v/>
      </c>
      <c r="T120" s="72">
        <f>IFERROR($R120/$I120,"n/a")</f>
        <v/>
      </c>
      <c r="U120" s="69">
        <f>COUNTIFS(Data_CRM!$B$2:$B$1694,$A120,Data_CRM!$C$2:$C$1694,$B120,Data_CRM!$D$2:$D$1694,$C120)</f>
        <v/>
      </c>
      <c r="V120" s="69">
        <f>COUNTIFS(Data_CRM!$B$2:$B$1694,$A120,Data_CRM!$C$2:$C$1694,$B120,Data_CRM!$D$2:$D$1694,$C120,Data_CRM!$F$2:$F$1694,1)</f>
        <v/>
      </c>
      <c r="W120" s="70">
        <f>IFERROR($H120/$V120,"n/a")</f>
        <v/>
      </c>
      <c r="X120" s="72">
        <f>IFERROR(IF($U120=0,"n/a",$V120/$U120),"n/a")</f>
        <v/>
      </c>
    </row>
    <row r="121" ht="14.25" customHeight="1" s="54">
      <c r="A121" s="75" t="inlineStr">
        <is>
          <t>Subtotal — CRM_Engagements_Positive</t>
        </is>
      </c>
      <c r="B121" s="95" t="n"/>
      <c r="C121" s="94" t="n"/>
      <c r="D121" s="103" t="n"/>
      <c r="E121" s="76">
        <f>SUM(E120:E120)</f>
        <v/>
      </c>
      <c r="F121" s="103" t="n"/>
      <c r="H121" s="78">
        <f>SUM(H120:H120)</f>
        <v/>
      </c>
      <c r="I121" s="76">
        <f>SUM(I120:I120)</f>
        <v/>
      </c>
      <c r="J121" s="76">
        <f>SUM(J120:J120)</f>
        <v/>
      </c>
      <c r="K121" s="103" t="n"/>
      <c r="L121" s="103" t="n"/>
      <c r="M121" s="103" t="n"/>
      <c r="N121" s="103" t="n"/>
      <c r="O121" s="79">
        <f>SUM(O120:O120)</f>
        <v/>
      </c>
      <c r="P121" s="76">
        <f>SUM(P120:P120)</f>
        <v/>
      </c>
      <c r="Q121" s="79">
        <f>IFERROR($P121/Data_MeetingScheduled!$J$2,"n/a")</f>
        <v/>
      </c>
      <c r="R121" s="76">
        <f>SUM(R120:R120)</f>
        <v/>
      </c>
      <c r="S121" s="80">
        <f>IFERROR($R121/$I121,"n/a")</f>
        <v/>
      </c>
      <c r="T121" s="79">
        <f>IFERROR($R121/$I121,"n/a")</f>
        <v/>
      </c>
      <c r="U121" s="76">
        <f>SUM(U120:U120)</f>
        <v/>
      </c>
      <c r="V121" s="76">
        <f>SUM(V120:V120)</f>
        <v/>
      </c>
      <c r="W121" s="77">
        <f>IFERROR($H121/$V121,"n/a")</f>
        <v/>
      </c>
      <c r="X121" s="79">
        <f>IFERROR(IF($U121=0,"n/a",$V121/$U121),"n/a")</f>
        <v/>
      </c>
    </row>
    <row r="122" ht="14.25" customHeight="1" s="54">
      <c r="A122" s="93" t="inlineStr">
        <is>
          <t>META_RMKT_Engage_ABO_SO</t>
        </is>
      </c>
      <c r="B122" s="93" t="inlineStr">
        <is>
          <t>FB Page Engagements</t>
        </is>
      </c>
      <c r="C122" s="68" t="inlineStr">
        <is>
          <t>Stockist Reel Engage</t>
        </is>
      </c>
      <c r="D122" s="67" t="inlineStr">
        <is>
          <t>active</t>
        </is>
      </c>
      <c r="E122" s="69" t="n">
        <v>59</v>
      </c>
      <c r="F122" s="67" t="inlineStr">
        <is>
          <t>page_visit_view</t>
        </is>
      </c>
      <c r="G122" s="70">
        <f>IFERROR($H122/$E122,"n/a")</f>
        <v/>
      </c>
      <c r="H122" s="71" t="n">
        <v>2793.17</v>
      </c>
      <c r="I122" s="69" t="n">
        <v>10146</v>
      </c>
      <c r="J122" s="69" t="n">
        <v>1442</v>
      </c>
      <c r="K122" s="67" t="inlineStr">
        <is>
          <t>1-day click</t>
        </is>
      </c>
      <c r="L122" s="67" t="inlineStr">
        <is>
          <t>-</t>
        </is>
      </c>
      <c r="M122" s="67" t="inlineStr">
        <is>
          <t>-</t>
        </is>
      </c>
      <c r="N122" s="67" t="inlineStr">
        <is>
          <t>-</t>
        </is>
      </c>
      <c r="O122" s="72">
        <f>IFERROR($H122/$I$72,"n/a")</f>
        <v/>
      </c>
      <c r="P122" s="69">
        <f>COUNTIFS(Data_MeetingScheduled!$C$2:$C$200,$A122,Data_MeetingScheduled!$D$2:$D$200,$B122,Data_MeetingScheduled!$E$2:$E$200,$C122)</f>
        <v/>
      </c>
      <c r="Q122" s="72">
        <f>IFERROR($P122/Data_MeetingScheduled!$J$2,"n/a")</f>
        <v/>
      </c>
      <c r="R122" s="69" t="n">
        <v>31</v>
      </c>
      <c r="S122" s="73">
        <f>IFERROR($R122/$I122,"n/a")</f>
        <v/>
      </c>
      <c r="T122" s="72">
        <f>IFERROR($R122/$I122,"n/a")</f>
        <v/>
      </c>
      <c r="U122" s="69">
        <f>COUNTIFS(Data_CRM!$B$2:$B$1694,$A122,Data_CRM!$C$2:$C$1694,$B122,Data_CRM!$D$2:$D$1694,$C122)</f>
        <v/>
      </c>
      <c r="V122" s="69">
        <f>COUNTIFS(Data_CRM!$B$2:$B$1694,$A122,Data_CRM!$C$2:$C$1694,$B122,Data_CRM!$D$2:$D$1694,$C122,Data_CRM!$F$2:$F$1694,1)</f>
        <v/>
      </c>
      <c r="W122" s="70">
        <f>IFERROR($H122/$V122,"n/a")</f>
        <v/>
      </c>
      <c r="X122" s="72">
        <f>IFERROR(IF($U122=0,"n/a",$V122/$U122),"n/a")</f>
        <v/>
      </c>
    </row>
    <row r="123" ht="14.25" customHeight="1" s="54">
      <c r="A123" s="75" t="inlineStr">
        <is>
          <t>Subtotal — FB Page Engagements</t>
        </is>
      </c>
      <c r="B123" s="95" t="n"/>
      <c r="C123" s="94" t="n"/>
      <c r="D123" s="103" t="n"/>
      <c r="E123" s="76">
        <f>SUM(E122:E122)</f>
        <v/>
      </c>
      <c r="F123" s="103" t="n"/>
      <c r="H123" s="78">
        <f>SUM(H122:H122)</f>
        <v/>
      </c>
      <c r="I123" s="76">
        <f>SUM(I122:I122)</f>
        <v/>
      </c>
      <c r="J123" s="76">
        <f>SUM(J122:J122)</f>
        <v/>
      </c>
      <c r="K123" s="103" t="n"/>
      <c r="L123" s="103" t="n"/>
      <c r="M123" s="103" t="n"/>
      <c r="N123" s="103" t="n"/>
      <c r="O123" s="79">
        <f>SUM(O122:O122)</f>
        <v/>
      </c>
      <c r="P123" s="76">
        <f>SUM(P122:P122)</f>
        <v/>
      </c>
      <c r="Q123" s="79">
        <f>IFERROR($P123/Data_MeetingScheduled!$J$2,"n/a")</f>
        <v/>
      </c>
      <c r="R123" s="76">
        <f>SUM(R122:R122)</f>
        <v/>
      </c>
      <c r="S123" s="80">
        <f>IFERROR($R123/$I123,"n/a")</f>
        <v/>
      </c>
      <c r="T123" s="79">
        <f>IFERROR($R123/$I123,"n/a")</f>
        <v/>
      </c>
      <c r="U123" s="76">
        <f>SUM(U122:U122)</f>
        <v/>
      </c>
      <c r="V123" s="76">
        <f>SUM(V122:V122)</f>
        <v/>
      </c>
      <c r="W123" s="77">
        <f>IFERROR($H123/$V123,"n/a")</f>
        <v/>
      </c>
      <c r="X123" s="79">
        <f>IFERROR(IF($U123=0,"n/a",$V123/$U123),"n/a")</f>
        <v/>
      </c>
    </row>
    <row r="124" ht="14.25" customHeight="1" s="54">
      <c r="A124" s="93" t="inlineStr">
        <is>
          <t>META_RMKT_Engage_ABO_SO</t>
        </is>
      </c>
      <c r="B124" s="93" t="inlineStr">
        <is>
          <t>IG Page Engagements</t>
        </is>
      </c>
      <c r="C124" s="68" t="inlineStr">
        <is>
          <t>Stockist Reel Engage</t>
        </is>
      </c>
      <c r="D124" s="67" t="inlineStr">
        <is>
          <t>active</t>
        </is>
      </c>
      <c r="E124" s="69" t="n">
        <v>49</v>
      </c>
      <c r="F124" s="67" t="inlineStr">
        <is>
          <t>profile_visit_view</t>
        </is>
      </c>
      <c r="G124" s="70">
        <f>IFERROR($H124/$E124,"n/a")</f>
        <v/>
      </c>
      <c r="H124" s="71" t="n">
        <v>2801.24</v>
      </c>
      <c r="I124" s="69" t="n">
        <v>7539</v>
      </c>
      <c r="J124" s="69" t="n">
        <v>1185</v>
      </c>
      <c r="K124" s="67" t="inlineStr">
        <is>
          <t>1-day click</t>
        </is>
      </c>
      <c r="L124" s="67" t="inlineStr">
        <is>
          <t>Below average – bottom 10% of ads</t>
        </is>
      </c>
      <c r="M124" s="67" t="inlineStr">
        <is>
          <t>-</t>
        </is>
      </c>
      <c r="N124" s="67" t="inlineStr">
        <is>
          <t>-</t>
        </is>
      </c>
      <c r="O124" s="72">
        <f>IFERROR($H124/$I$73,"n/a")</f>
        <v/>
      </c>
      <c r="P124" s="69">
        <f>COUNTIFS(Data_MeetingScheduled!$C$2:$C$200,$A124,Data_MeetingScheduled!$D$2:$D$200,$B124,Data_MeetingScheduled!$E$2:$E$200,$C124)</f>
        <v/>
      </c>
      <c r="Q124" s="72">
        <f>IFERROR($P124/Data_MeetingScheduled!$J$2,"n/a")</f>
        <v/>
      </c>
      <c r="R124" s="69" t="n">
        <v>48</v>
      </c>
      <c r="S124" s="73">
        <f>IFERROR($R124/$I124,"n/a")</f>
        <v/>
      </c>
      <c r="T124" s="72">
        <f>IFERROR($R124/$I124,"n/a")</f>
        <v/>
      </c>
      <c r="U124" s="69">
        <f>COUNTIFS(Data_CRM!$B$2:$B$1694,$A124,Data_CRM!$C$2:$C$1694,$B124,Data_CRM!$D$2:$D$1694,$C124)</f>
        <v/>
      </c>
      <c r="V124" s="69">
        <f>COUNTIFS(Data_CRM!$B$2:$B$1694,$A124,Data_CRM!$C$2:$C$1694,$B124,Data_CRM!$D$2:$D$1694,$C124,Data_CRM!$F$2:$F$1694,1)</f>
        <v/>
      </c>
      <c r="W124" s="70">
        <f>IFERROR($H124/$V124,"n/a")</f>
        <v/>
      </c>
      <c r="X124" s="72">
        <f>IFERROR(IF($U124=0,"n/a",$V124/$U124),"n/a")</f>
        <v/>
      </c>
    </row>
    <row r="125" ht="14.25" customHeight="1" s="54">
      <c r="A125" s="75" t="inlineStr">
        <is>
          <t>Subtotal — IG Page Engagements</t>
        </is>
      </c>
      <c r="B125" s="95" t="n"/>
      <c r="C125" s="94" t="n"/>
      <c r="D125" s="103" t="n"/>
      <c r="E125" s="76">
        <f>SUM(E124:E124)</f>
        <v/>
      </c>
      <c r="F125" s="103" t="n"/>
      <c r="H125" s="78">
        <f>SUM(H124:H124)</f>
        <v/>
      </c>
      <c r="I125" s="76">
        <f>SUM(I124:I124)</f>
        <v/>
      </c>
      <c r="J125" s="76">
        <f>SUM(J124:J124)</f>
        <v/>
      </c>
      <c r="K125" s="103" t="n"/>
      <c r="L125" s="103" t="n"/>
      <c r="M125" s="103" t="n"/>
      <c r="N125" s="103" t="n"/>
      <c r="O125" s="79">
        <f>SUM(O124:O124)</f>
        <v/>
      </c>
      <c r="P125" s="76">
        <f>SUM(P124:P124)</f>
        <v/>
      </c>
      <c r="Q125" s="79">
        <f>IFERROR($P125/Data_MeetingScheduled!$J$2,"n/a")</f>
        <v/>
      </c>
      <c r="R125" s="76">
        <f>SUM(R124:R124)</f>
        <v/>
      </c>
      <c r="S125" s="80">
        <f>IFERROR($R125/$I125,"n/a")</f>
        <v/>
      </c>
      <c r="T125" s="79">
        <f>IFERROR($R125/$I125,"n/a")</f>
        <v/>
      </c>
      <c r="U125" s="76">
        <f>SUM(U124:U124)</f>
        <v/>
      </c>
      <c r="V125" s="76">
        <f>SUM(V124:V124)</f>
        <v/>
      </c>
      <c r="W125" s="77">
        <f>IFERROR($H125/$V125,"n/a")</f>
        <v/>
      </c>
      <c r="X125" s="79">
        <f>IFERROR(IF($U125=0,"n/a",$V125/$U125),"n/a")</f>
        <v/>
      </c>
    </row>
    <row r="126" ht="14.25" customHeight="1" s="54">
      <c r="A126" s="93" t="inlineStr">
        <is>
          <t>META_RMKT_Socials Pages_CBO_SO</t>
        </is>
      </c>
      <c r="B126" s="93" t="inlineStr">
        <is>
          <t>Socials Pages_SO</t>
        </is>
      </c>
      <c r="C126" s="68" t="inlineStr">
        <is>
          <t>Stockist_IMG_3.5_Limited_All Large_SO</t>
        </is>
      </c>
      <c r="D126" s="67" t="inlineStr">
        <is>
          <t>active</t>
        </is>
      </c>
      <c r="E126" s="69" t="n"/>
      <c r="F126" s="67" t="n"/>
      <c r="G126" s="70">
        <f>IFERROR($H126/$E126,"n/a")</f>
        <v/>
      </c>
      <c r="H126" s="71" t="n">
        <v>400.48</v>
      </c>
      <c r="I126" s="69" t="n">
        <v>1572</v>
      </c>
      <c r="J126" s="69" t="n">
        <v>977</v>
      </c>
      <c r="K126" s="67" t="inlineStr">
        <is>
          <t>7-day click or 1-day view</t>
        </is>
      </c>
      <c r="L126" s="67" t="inlineStr">
        <is>
          <t>-</t>
        </is>
      </c>
      <c r="M126" s="67" t="inlineStr">
        <is>
          <t>-</t>
        </is>
      </c>
      <c r="N126" s="67" t="inlineStr">
        <is>
          <t>-</t>
        </is>
      </c>
      <c r="O126" s="72">
        <f>IFERROR($H126/$I$77,"n/a")</f>
        <v/>
      </c>
      <c r="P126" s="69">
        <f>COUNTIFS(Data_MeetingScheduled!$C$2:$C$200,$A126,Data_MeetingScheduled!$D$2:$D$200,$B126,Data_MeetingScheduled!$E$2:$E$200,$C126)</f>
        <v/>
      </c>
      <c r="Q126" s="72">
        <f>IFERROR($P126/Data_MeetingScheduled!$J$2,"n/a")</f>
        <v/>
      </c>
      <c r="R126" s="69" t="n">
        <v>8</v>
      </c>
      <c r="S126" s="73">
        <f>IFERROR($R126/$I126,"n/a")</f>
        <v/>
      </c>
      <c r="T126" s="72">
        <f>IFERROR($R126/$I126,"n/a")</f>
        <v/>
      </c>
      <c r="U126" s="69">
        <f>COUNTIFS(Data_CRM!$B$2:$B$1694,$A126,Data_CRM!$C$2:$C$1694,$B126,Data_CRM!$D$2:$D$1694,$C126)</f>
        <v/>
      </c>
      <c r="V126" s="69">
        <f>COUNTIFS(Data_CRM!$B$2:$B$1694,$A126,Data_CRM!$C$2:$C$1694,$B126,Data_CRM!$D$2:$D$1694,$C126,Data_CRM!$F$2:$F$1694,1)</f>
        <v/>
      </c>
      <c r="W126" s="70">
        <f>IFERROR($H126/$V126,"n/a")</f>
        <v/>
      </c>
      <c r="X126" s="72">
        <f>IFERROR(IF($U126=0,"n/a",$V126/$U126),"n/a")</f>
        <v/>
      </c>
    </row>
    <row r="127" ht="14.25" customHeight="1" s="54">
      <c r="A127" s="93" t="inlineStr">
        <is>
          <t>META_RMKT_Socials Pages_CBO_SO</t>
        </is>
      </c>
      <c r="B127" s="93" t="inlineStr">
        <is>
          <t>Socials Pages_SO</t>
        </is>
      </c>
      <c r="C127" s="68" t="inlineStr">
        <is>
          <t>Stockist 33 Billion</t>
        </is>
      </c>
      <c r="D127" s="67" t="inlineStr">
        <is>
          <t>active</t>
        </is>
      </c>
      <c r="E127" s="69" t="n"/>
      <c r="F127" s="67" t="n"/>
      <c r="G127" s="70">
        <f>IFERROR($H127/$E127,"n/a")</f>
        <v/>
      </c>
      <c r="H127" s="71" t="n">
        <v>55.16</v>
      </c>
      <c r="I127" s="69" t="n">
        <v>172</v>
      </c>
      <c r="J127" s="69" t="n">
        <v>136</v>
      </c>
      <c r="K127" s="67" t="inlineStr">
        <is>
          <t>7-day click or 1-day view</t>
        </is>
      </c>
      <c r="L127" s="67" t="inlineStr">
        <is>
          <t>-</t>
        </is>
      </c>
      <c r="M127" s="67" t="inlineStr">
        <is>
          <t>-</t>
        </is>
      </c>
      <c r="N127" s="67" t="inlineStr">
        <is>
          <t>-</t>
        </is>
      </c>
      <c r="O127" s="72">
        <f>IFERROR($H127/$I$77,"n/a")</f>
        <v/>
      </c>
      <c r="P127" s="69">
        <f>COUNTIFS(Data_MeetingScheduled!$C$2:$C$200,$A127,Data_MeetingScheduled!$D$2:$D$200,$B127,Data_MeetingScheduled!$E$2:$E$200,$C127)</f>
        <v/>
      </c>
      <c r="Q127" s="72">
        <f>IFERROR($P127/Data_MeetingScheduled!$J$2,"n/a")</f>
        <v/>
      </c>
      <c r="R127" s="69" t="n">
        <v>2</v>
      </c>
      <c r="S127" s="73">
        <f>IFERROR($R127/$I127,"n/a")</f>
        <v/>
      </c>
      <c r="T127" s="72">
        <f>IFERROR($R127/$I127,"n/a")</f>
        <v/>
      </c>
      <c r="U127" s="69">
        <f>COUNTIFS(Data_CRM!$B$2:$B$1694,$A127,Data_CRM!$C$2:$C$1694,$B127,Data_CRM!$D$2:$D$1694,$C127)</f>
        <v/>
      </c>
      <c r="V127" s="69">
        <f>COUNTIFS(Data_CRM!$B$2:$B$1694,$A127,Data_CRM!$C$2:$C$1694,$B127,Data_CRM!$D$2:$D$1694,$C127,Data_CRM!$F$2:$F$1694,1)</f>
        <v/>
      </c>
      <c r="W127" s="70">
        <f>IFERROR($H127/$V127,"n/a")</f>
        <v/>
      </c>
      <c r="X127" s="72">
        <f>IFERROR(IF($U127=0,"n/a",$V127/$U127),"n/a")</f>
        <v/>
      </c>
    </row>
    <row r="128" ht="14.25" customHeight="1" s="54">
      <c r="A128" s="93" t="inlineStr">
        <is>
          <t>META_RMKT_Socials Pages_CBO_SO</t>
        </is>
      </c>
      <c r="B128" s="93" t="inlineStr">
        <is>
          <t>Socials Pages_SO</t>
        </is>
      </c>
      <c r="C128" s="68" t="inlineStr">
        <is>
          <t>Stockist_Reel</t>
        </is>
      </c>
      <c r="D128" s="67" t="inlineStr">
        <is>
          <t>active</t>
        </is>
      </c>
      <c r="E128" s="69" t="n">
        <v>6</v>
      </c>
      <c r="F128" s="67" t="inlineStr">
        <is>
          <t>actions:leadgen.other</t>
        </is>
      </c>
      <c r="G128" s="70">
        <f>IFERROR($H128/$E128,"n/a")</f>
        <v/>
      </c>
      <c r="H128" s="71" t="n">
        <v>1498</v>
      </c>
      <c r="I128" s="69" t="n">
        <v>5402</v>
      </c>
      <c r="J128" s="69" t="n">
        <v>3234</v>
      </c>
      <c r="K128" s="67" t="inlineStr">
        <is>
          <t>7-day click or 1-day view</t>
        </is>
      </c>
      <c r="L128" s="67" t="inlineStr">
        <is>
          <t>Average</t>
        </is>
      </c>
      <c r="M128" s="67" t="inlineStr">
        <is>
          <t>Below average – bottom 10% of ads</t>
        </is>
      </c>
      <c r="N128" s="67" t="inlineStr">
        <is>
          <t>Below average – bottom 20% of ads</t>
        </is>
      </c>
      <c r="O128" s="72">
        <f>IFERROR($H128/$I$77,"n/a")</f>
        <v/>
      </c>
      <c r="P128" s="69">
        <f>COUNTIFS(Data_MeetingScheduled!$C$2:$C$200,$A128,Data_MeetingScheduled!$D$2:$D$200,$B128,Data_MeetingScheduled!$E$2:$E$200,$C128)</f>
        <v/>
      </c>
      <c r="Q128" s="72">
        <f>IFERROR($P128/Data_MeetingScheduled!$J$2,"n/a")</f>
        <v/>
      </c>
      <c r="R128" s="69" t="n">
        <v>76</v>
      </c>
      <c r="S128" s="73">
        <f>IFERROR($R128/$I128,"n/a")</f>
        <v/>
      </c>
      <c r="T128" s="72">
        <f>IFERROR($R128/$I128,"n/a")</f>
        <v/>
      </c>
      <c r="U128" s="69">
        <f>COUNTIFS(Data_CRM!$B$2:$B$1694,$A128,Data_CRM!$C$2:$C$1694,$B128,Data_CRM!$D$2:$D$1694,$C128)</f>
        <v/>
      </c>
      <c r="V128" s="69">
        <f>COUNTIFS(Data_CRM!$B$2:$B$1694,$A128,Data_CRM!$C$2:$C$1694,$B128,Data_CRM!$D$2:$D$1694,$C128,Data_CRM!$F$2:$F$1694,1)</f>
        <v/>
      </c>
      <c r="W128" s="70">
        <f>IFERROR($H128/$V128,"n/a")</f>
        <v/>
      </c>
      <c r="X128" s="72">
        <f>IFERROR(IF($U128=0,"n/a",$V128/$U128),"n/a")</f>
        <v/>
      </c>
    </row>
    <row r="129" ht="14.25" customHeight="1" s="54">
      <c r="A129" s="93" t="inlineStr">
        <is>
          <t>META_RMKT_Socials Pages_CBO_SO</t>
        </is>
      </c>
      <c r="B129" s="93" t="inlineStr">
        <is>
          <t>Socials Pages_SO</t>
        </is>
      </c>
      <c r="C129" s="68" t="inlineStr">
        <is>
          <t>58 Year Trust Stockist</t>
        </is>
      </c>
      <c r="D129" s="67" t="inlineStr">
        <is>
          <t>active</t>
        </is>
      </c>
      <c r="E129" s="69" t="n"/>
      <c r="F129" s="67" t="n"/>
      <c r="G129" s="70">
        <f>IFERROR($H129/$E129,"n/a")</f>
        <v/>
      </c>
      <c r="H129" s="71" t="n">
        <v>63.37</v>
      </c>
      <c r="I129" s="69" t="n">
        <v>187</v>
      </c>
      <c r="J129" s="69" t="n">
        <v>151</v>
      </c>
      <c r="K129" s="67" t="inlineStr">
        <is>
          <t>7-day click or 1-day view</t>
        </is>
      </c>
      <c r="L129" s="67" t="inlineStr">
        <is>
          <t>-</t>
        </is>
      </c>
      <c r="M129" s="67" t="inlineStr">
        <is>
          <t>-</t>
        </is>
      </c>
      <c r="N129" s="67" t="inlineStr">
        <is>
          <t>-</t>
        </is>
      </c>
      <c r="O129" s="72">
        <f>IFERROR($H129/$I$77,"n/a")</f>
        <v/>
      </c>
      <c r="P129" s="69">
        <f>COUNTIFS(Data_MeetingScheduled!$C$2:$C$200,$A129,Data_MeetingScheduled!$D$2:$D$200,$B129,Data_MeetingScheduled!$E$2:$E$200,$C129)</f>
        <v/>
      </c>
      <c r="Q129" s="72">
        <f>IFERROR($P129/Data_MeetingScheduled!$J$2,"n/a")</f>
        <v/>
      </c>
      <c r="R129" s="69" t="n"/>
      <c r="S129" s="73">
        <f>IFERROR($R129/$I129,"n/a")</f>
        <v/>
      </c>
      <c r="T129" s="72">
        <f>IFERROR($R129/$I129,"n/a")</f>
        <v/>
      </c>
      <c r="U129" s="69">
        <f>COUNTIFS(Data_CRM!$B$2:$B$1694,$A129,Data_CRM!$C$2:$C$1694,$B129,Data_CRM!$D$2:$D$1694,$C129)</f>
        <v/>
      </c>
      <c r="V129" s="69">
        <f>COUNTIFS(Data_CRM!$B$2:$B$1694,$A129,Data_CRM!$C$2:$C$1694,$B129,Data_CRM!$D$2:$D$1694,$C129,Data_CRM!$F$2:$F$1694,1)</f>
        <v/>
      </c>
      <c r="W129" s="70">
        <f>IFERROR($H129/$V129,"n/a")</f>
        <v/>
      </c>
      <c r="X129" s="72">
        <f>IFERROR(IF($U129=0,"n/a",$V129/$U129),"n/a")</f>
        <v/>
      </c>
    </row>
    <row r="130" ht="14.25" customHeight="1" s="54">
      <c r="A130" s="93" t="inlineStr">
        <is>
          <t>META_RMKT_Socials Pages_CBO_SO</t>
        </is>
      </c>
      <c r="B130" s="93" t="inlineStr">
        <is>
          <t>Socials Pages_SO</t>
        </is>
      </c>
      <c r="C130" s="68" t="inlineStr">
        <is>
          <t>Reel – Ashish_Signature_Store</t>
        </is>
      </c>
      <c r="D130" s="67" t="inlineStr">
        <is>
          <t>active</t>
        </is>
      </c>
      <c r="E130" s="69" t="n"/>
      <c r="F130" s="67" t="n"/>
      <c r="G130" s="70">
        <f>IFERROR($H130/$E130,"n/a")</f>
        <v/>
      </c>
      <c r="H130" s="71" t="n">
        <v>85.26000000000001</v>
      </c>
      <c r="I130" s="69" t="n">
        <v>195</v>
      </c>
      <c r="J130" s="69" t="n">
        <v>167</v>
      </c>
      <c r="K130" s="67" t="inlineStr">
        <is>
          <t>7-day click or 1-day view</t>
        </is>
      </c>
      <c r="L130" s="67" t="inlineStr">
        <is>
          <t>-</t>
        </is>
      </c>
      <c r="M130" s="67" t="inlineStr">
        <is>
          <t>-</t>
        </is>
      </c>
      <c r="N130" s="67" t="inlineStr">
        <is>
          <t>-</t>
        </is>
      </c>
      <c r="O130" s="72">
        <f>IFERROR($H130/$I$77,"n/a")</f>
        <v/>
      </c>
      <c r="P130" s="69">
        <f>COUNTIFS(Data_MeetingScheduled!$C$2:$C$200,$A130,Data_MeetingScheduled!$D$2:$D$200,$B130,Data_MeetingScheduled!$E$2:$E$200,$C130)</f>
        <v/>
      </c>
      <c r="Q130" s="72">
        <f>IFERROR($P130/Data_MeetingScheduled!$J$2,"n/a")</f>
        <v/>
      </c>
      <c r="R130" s="69" t="n">
        <v>7</v>
      </c>
      <c r="S130" s="73">
        <f>IFERROR($R130/$I130,"n/a")</f>
        <v/>
      </c>
      <c r="T130" s="72">
        <f>IFERROR($R130/$I130,"n/a")</f>
        <v/>
      </c>
      <c r="U130" s="69">
        <f>COUNTIFS(Data_CRM!$B$2:$B$1694,$A130,Data_CRM!$C$2:$C$1694,$B130,Data_CRM!$D$2:$D$1694,$C130)</f>
        <v/>
      </c>
      <c r="V130" s="69">
        <f>COUNTIFS(Data_CRM!$B$2:$B$1694,$A130,Data_CRM!$C$2:$C$1694,$B130,Data_CRM!$D$2:$D$1694,$C130,Data_CRM!$F$2:$F$1694,1)</f>
        <v/>
      </c>
      <c r="W130" s="70">
        <f>IFERROR($H130/$V130,"n/a")</f>
        <v/>
      </c>
      <c r="X130" s="72">
        <f>IFERROR(IF($U130=0,"n/a",$V130/$U130),"n/a")</f>
        <v/>
      </c>
    </row>
    <row r="131" ht="14.25" customHeight="1" s="54">
      <c r="A131" s="93" t="inlineStr">
        <is>
          <t>META_RMKT_Socials Pages_CBO_SO</t>
        </is>
      </c>
      <c r="B131" s="93" t="inlineStr">
        <is>
          <t>Socials Pages_SO</t>
        </is>
      </c>
      <c r="C131" s="68" t="inlineStr">
        <is>
          <t>Stockist_Building_July</t>
        </is>
      </c>
      <c r="D131" s="67" t="inlineStr">
        <is>
          <t>active</t>
        </is>
      </c>
      <c r="E131" s="69" t="n"/>
      <c r="F131" s="67" t="n"/>
      <c r="G131" s="70">
        <f>IFERROR($H131/$E131,"n/a")</f>
        <v/>
      </c>
      <c r="H131" s="71" t="n">
        <v>719.35</v>
      </c>
      <c r="I131" s="69" t="n">
        <v>2603</v>
      </c>
      <c r="J131" s="69" t="n">
        <v>1539</v>
      </c>
      <c r="K131" s="67" t="inlineStr">
        <is>
          <t>7-day click or 1-day view</t>
        </is>
      </c>
      <c r="L131" s="67" t="inlineStr">
        <is>
          <t>-</t>
        </is>
      </c>
      <c r="M131" s="67" t="inlineStr">
        <is>
          <t>-</t>
        </is>
      </c>
      <c r="N131" s="67" t="inlineStr">
        <is>
          <t>-</t>
        </is>
      </c>
      <c r="O131" s="72">
        <f>IFERROR($H131/$I$77,"n/a")</f>
        <v/>
      </c>
      <c r="P131" s="69">
        <f>COUNTIFS(Data_MeetingScheduled!$C$2:$C$200,$A131,Data_MeetingScheduled!$D$2:$D$200,$B131,Data_MeetingScheduled!$E$2:$E$200,$C131)</f>
        <v/>
      </c>
      <c r="Q131" s="72">
        <f>IFERROR($P131/Data_MeetingScheduled!$J$2,"n/a")</f>
        <v/>
      </c>
      <c r="R131" s="69" t="n">
        <v>23</v>
      </c>
      <c r="S131" s="73">
        <f>IFERROR($R131/$I131,"n/a")</f>
        <v/>
      </c>
      <c r="T131" s="72">
        <f>IFERROR($R131/$I131,"n/a")</f>
        <v/>
      </c>
      <c r="U131" s="69">
        <f>COUNTIFS(Data_CRM!$B$2:$B$1694,$A131,Data_CRM!$C$2:$C$1694,$B131,Data_CRM!$D$2:$D$1694,$C131)</f>
        <v/>
      </c>
      <c r="V131" s="69">
        <f>COUNTIFS(Data_CRM!$B$2:$B$1694,$A131,Data_CRM!$C$2:$C$1694,$B131,Data_CRM!$D$2:$D$1694,$C131,Data_CRM!$F$2:$F$1694,1)</f>
        <v/>
      </c>
      <c r="W131" s="70">
        <f>IFERROR($H131/$V131,"n/a")</f>
        <v/>
      </c>
      <c r="X131" s="72">
        <f>IFERROR(IF($U131=0,"n/a",$V131/$U131),"n/a")</f>
        <v/>
      </c>
    </row>
    <row r="132" ht="14.25" customHeight="1" s="54">
      <c r="A132" s="75" t="inlineStr">
        <is>
          <t>Subtotal — Socials Pages_SO</t>
        </is>
      </c>
      <c r="B132" s="95" t="n"/>
      <c r="C132" s="94" t="n"/>
      <c r="D132" s="103" t="n"/>
      <c r="E132" s="76">
        <f>SUM(E126:E131)</f>
        <v/>
      </c>
      <c r="F132" s="103" t="n"/>
      <c r="H132" s="78">
        <f>SUM(H126:H131)</f>
        <v/>
      </c>
      <c r="I132" s="76">
        <f>SUM(I126:I131)</f>
        <v/>
      </c>
      <c r="J132" s="76">
        <f>SUM(J126:J131)</f>
        <v/>
      </c>
      <c r="K132" s="103" t="n"/>
      <c r="L132" s="103" t="n"/>
      <c r="M132" s="103" t="n"/>
      <c r="N132" s="103" t="n"/>
      <c r="O132" s="79">
        <f>SUM(O126:O131)</f>
        <v/>
      </c>
      <c r="P132" s="76">
        <f>SUM(P126:P131)</f>
        <v/>
      </c>
      <c r="Q132" s="79">
        <f>IFERROR($P132/Data_MeetingScheduled!$J$2,"n/a")</f>
        <v/>
      </c>
      <c r="R132" s="76">
        <f>SUM(R126:R131)</f>
        <v/>
      </c>
      <c r="S132" s="80">
        <f>IFERROR($R132/$I132,"n/a")</f>
        <v/>
      </c>
      <c r="T132" s="79">
        <f>IFERROR($R132/$I132,"n/a")</f>
        <v/>
      </c>
      <c r="U132" s="76">
        <f>SUM(U126:U131)</f>
        <v/>
      </c>
      <c r="V132" s="76">
        <f>SUM(V126:V131)</f>
        <v/>
      </c>
      <c r="W132" s="77">
        <f>IFERROR($H132/$V132,"n/a")</f>
        <v/>
      </c>
      <c r="X132" s="79">
        <f>IFERROR(IF($U132=0,"n/a",$V132/$U132),"n/a")</f>
        <v/>
      </c>
    </row>
    <row r="133" ht="14.25" customHeight="1" s="54">
      <c r="A133" s="93" t="inlineStr">
        <is>
          <t>CRM Custom List_CBO_SO</t>
        </is>
      </c>
      <c r="B133" s="93" t="inlineStr">
        <is>
          <t>Qualified LAL All Models</t>
        </is>
      </c>
      <c r="C133" s="68" t="inlineStr">
        <is>
          <t>Stockist 33 Billion_LAL_Q_SO</t>
        </is>
      </c>
      <c r="D133" s="67" t="inlineStr">
        <is>
          <t>not_delivering</t>
        </is>
      </c>
      <c r="E133" s="69" t="n"/>
      <c r="F133" s="67" t="n"/>
      <c r="G133" s="70">
        <f>IFERROR($H133/$E133,"n/a")</f>
        <v/>
      </c>
      <c r="H133" s="71" t="n">
        <v>0</v>
      </c>
      <c r="I133" s="69" t="n">
        <v>0</v>
      </c>
      <c r="J133" s="69" t="n">
        <v>0</v>
      </c>
      <c r="K133" s="67" t="inlineStr">
        <is>
          <t>-</t>
        </is>
      </c>
      <c r="L133" s="67" t="inlineStr">
        <is>
          <t>-</t>
        </is>
      </c>
      <c r="M133" s="67" t="inlineStr">
        <is>
          <t>-</t>
        </is>
      </c>
      <c r="N133" s="67" t="inlineStr">
        <is>
          <t>-</t>
        </is>
      </c>
      <c r="O133" s="72">
        <f>IFERROR($H133/$I$79,"n/a")</f>
        <v/>
      </c>
      <c r="P133" s="69">
        <f>COUNTIFS(Data_MeetingScheduled!$C$2:$C$200,$A133,Data_MeetingScheduled!$D$2:$D$200,$B133,Data_MeetingScheduled!$E$2:$E$200,$C133)</f>
        <v/>
      </c>
      <c r="Q133" s="72">
        <f>IFERROR($P133/Data_MeetingScheduled!$J$2,"n/a")</f>
        <v/>
      </c>
      <c r="R133" s="69" t="n"/>
      <c r="S133" s="73">
        <f>IFERROR($R133/$I133,"n/a")</f>
        <v/>
      </c>
      <c r="T133" s="72">
        <f>IFERROR($R133/$I133,"n/a")</f>
        <v/>
      </c>
      <c r="U133" s="69">
        <f>COUNTIFS(Data_CRM!$B$2:$B$1694,$A133,Data_CRM!$C$2:$C$1694,$B133,Data_CRM!$D$2:$D$1694,$C133)</f>
        <v/>
      </c>
      <c r="V133" s="69">
        <f>COUNTIFS(Data_CRM!$B$2:$B$1694,$A133,Data_CRM!$C$2:$C$1694,$B133,Data_CRM!$D$2:$D$1694,$C133,Data_CRM!$F$2:$F$1694,1)</f>
        <v/>
      </c>
      <c r="W133" s="70">
        <f>IFERROR($H133/$V133,"n/a")</f>
        <v/>
      </c>
      <c r="X133" s="72">
        <f>IFERROR(IF($U133=0,"n/a",$V133/$U133),"n/a")</f>
        <v/>
      </c>
    </row>
    <row r="134" ht="14.25" customHeight="1" s="54">
      <c r="A134" s="93" t="inlineStr">
        <is>
          <t>CRM Custom List_CBO_SO</t>
        </is>
      </c>
      <c r="B134" s="93" t="inlineStr">
        <is>
          <t>Qualified LAL All Models</t>
        </is>
      </c>
      <c r="C134" s="68" t="inlineStr">
        <is>
          <t>Reel – Ashish_Signature_Store_LAL_Q</t>
        </is>
      </c>
      <c r="D134" s="67" t="inlineStr">
        <is>
          <t>not_delivering</t>
        </is>
      </c>
      <c r="E134" s="69" t="n"/>
      <c r="F134" s="67" t="n"/>
      <c r="G134" s="70">
        <f>IFERROR($H134/$E134,"n/a")</f>
        <v/>
      </c>
      <c r="H134" s="71" t="n">
        <v>0</v>
      </c>
      <c r="I134" s="69" t="n">
        <v>0</v>
      </c>
      <c r="J134" s="69" t="n">
        <v>0</v>
      </c>
      <c r="K134" s="67" t="inlineStr">
        <is>
          <t>7-day click or 1-day view</t>
        </is>
      </c>
      <c r="L134" s="67" t="inlineStr">
        <is>
          <t>-</t>
        </is>
      </c>
      <c r="M134" s="67" t="inlineStr">
        <is>
          <t>-</t>
        </is>
      </c>
      <c r="N134" s="67" t="inlineStr">
        <is>
          <t>-</t>
        </is>
      </c>
      <c r="O134" s="72">
        <f>IFERROR($H134/$I$79,"n/a")</f>
        <v/>
      </c>
      <c r="P134" s="69">
        <f>COUNTIFS(Data_MeetingScheduled!$C$2:$C$200,$A134,Data_MeetingScheduled!$D$2:$D$200,$B134,Data_MeetingScheduled!$E$2:$E$200,$C134)</f>
        <v/>
      </c>
      <c r="Q134" s="72">
        <f>IFERROR($P134/Data_MeetingScheduled!$J$2,"n/a")</f>
        <v/>
      </c>
      <c r="R134" s="69" t="n"/>
      <c r="S134" s="73">
        <f>IFERROR($R134/$I134,"n/a")</f>
        <v/>
      </c>
      <c r="T134" s="72">
        <f>IFERROR($R134/$I134,"n/a")</f>
        <v/>
      </c>
      <c r="U134" s="69">
        <f>COUNTIFS(Data_CRM!$B$2:$B$1694,$A134,Data_CRM!$C$2:$C$1694,$B134,Data_CRM!$D$2:$D$1694,$C134)</f>
        <v/>
      </c>
      <c r="V134" s="69">
        <f>COUNTIFS(Data_CRM!$B$2:$B$1694,$A134,Data_CRM!$C$2:$C$1694,$B134,Data_CRM!$D$2:$D$1694,$C134,Data_CRM!$F$2:$F$1694,1)</f>
        <v/>
      </c>
      <c r="W134" s="70">
        <f>IFERROR($H134/$V134,"n/a")</f>
        <v/>
      </c>
      <c r="X134" s="72">
        <f>IFERROR(IF($U134=0,"n/a",$V134/$U134),"n/a")</f>
        <v/>
      </c>
    </row>
    <row r="135" ht="14.25" customHeight="1" s="54">
      <c r="A135" s="93" t="inlineStr">
        <is>
          <t>CRM Custom List_CBO_SO</t>
        </is>
      </c>
      <c r="B135" s="93" t="inlineStr">
        <is>
          <t>Qualified LAL All Models</t>
        </is>
      </c>
      <c r="C135" s="68" t="inlineStr">
        <is>
          <t>Stockist_IMG_3.5_Limited_All Large_LAL_Q</t>
        </is>
      </c>
      <c r="D135" s="67" t="inlineStr">
        <is>
          <t>not_delivering</t>
        </is>
      </c>
      <c r="E135" s="69" t="n"/>
      <c r="F135" s="67" t="n"/>
      <c r="G135" s="70">
        <f>IFERROR($H135/$E135,"n/a")</f>
        <v/>
      </c>
      <c r="H135" s="71" t="n">
        <v>0</v>
      </c>
      <c r="I135" s="69" t="n">
        <v>0</v>
      </c>
      <c r="J135" s="69" t="n">
        <v>0</v>
      </c>
      <c r="K135" s="67" t="inlineStr">
        <is>
          <t>7-day click or 1-day view</t>
        </is>
      </c>
      <c r="L135" s="67" t="inlineStr">
        <is>
          <t>-</t>
        </is>
      </c>
      <c r="M135" s="67" t="inlineStr">
        <is>
          <t>-</t>
        </is>
      </c>
      <c r="N135" s="67" t="inlineStr">
        <is>
          <t>-</t>
        </is>
      </c>
      <c r="O135" s="72">
        <f>IFERROR($H135/$I$79,"n/a")</f>
        <v/>
      </c>
      <c r="P135" s="69">
        <f>COUNTIFS(Data_MeetingScheduled!$C$2:$C$200,$A135,Data_MeetingScheduled!$D$2:$D$200,$B135,Data_MeetingScheduled!$E$2:$E$200,$C135)</f>
        <v/>
      </c>
      <c r="Q135" s="72">
        <f>IFERROR($P135/Data_MeetingScheduled!$J$2,"n/a")</f>
        <v/>
      </c>
      <c r="R135" s="69" t="n"/>
      <c r="S135" s="73">
        <f>IFERROR($R135/$I135,"n/a")</f>
        <v/>
      </c>
      <c r="T135" s="72">
        <f>IFERROR($R135/$I135,"n/a")</f>
        <v/>
      </c>
      <c r="U135" s="69">
        <f>COUNTIFS(Data_CRM!$B$2:$B$1694,$A135,Data_CRM!$C$2:$C$1694,$B135,Data_CRM!$D$2:$D$1694,$C135)</f>
        <v/>
      </c>
      <c r="V135" s="69">
        <f>COUNTIFS(Data_CRM!$B$2:$B$1694,$A135,Data_CRM!$C$2:$C$1694,$B135,Data_CRM!$D$2:$D$1694,$C135,Data_CRM!$F$2:$F$1694,1)</f>
        <v/>
      </c>
      <c r="W135" s="70">
        <f>IFERROR($H135/$V135,"n/a")</f>
        <v/>
      </c>
      <c r="X135" s="72">
        <f>IFERROR(IF($U135=0,"n/a",$V135/$U135),"n/a")</f>
        <v/>
      </c>
    </row>
    <row r="136" ht="14.25" customHeight="1" s="54">
      <c r="A136" s="93" t="inlineStr">
        <is>
          <t>CRM Custom List_CBO_SO</t>
        </is>
      </c>
      <c r="B136" s="93" t="inlineStr">
        <is>
          <t>Qualified LAL All Models</t>
        </is>
      </c>
      <c r="C136" s="68" t="inlineStr">
        <is>
          <t>58 Year Trust Stockist_LAL_Q</t>
        </is>
      </c>
      <c r="D136" s="67" t="inlineStr">
        <is>
          <t>not_delivering</t>
        </is>
      </c>
      <c r="E136" s="69" t="n"/>
      <c r="F136" s="67" t="n"/>
      <c r="G136" s="70">
        <f>IFERROR($H136/$E136,"n/a")</f>
        <v/>
      </c>
      <c r="H136" s="71" t="n">
        <v>0</v>
      </c>
      <c r="I136" s="69" t="n">
        <v>0</v>
      </c>
      <c r="J136" s="69" t="n">
        <v>0</v>
      </c>
      <c r="K136" s="67" t="inlineStr">
        <is>
          <t>7-day click or 1-day view</t>
        </is>
      </c>
      <c r="L136" s="67" t="inlineStr">
        <is>
          <t>-</t>
        </is>
      </c>
      <c r="M136" s="67" t="inlineStr">
        <is>
          <t>-</t>
        </is>
      </c>
      <c r="N136" s="67" t="inlineStr">
        <is>
          <t>-</t>
        </is>
      </c>
      <c r="O136" s="72">
        <f>IFERROR($H136/$I$79,"n/a")</f>
        <v/>
      </c>
      <c r="P136" s="69">
        <f>COUNTIFS(Data_MeetingScheduled!$C$2:$C$200,$A136,Data_MeetingScheduled!$D$2:$D$200,$B136,Data_MeetingScheduled!$E$2:$E$200,$C136)</f>
        <v/>
      </c>
      <c r="Q136" s="72">
        <f>IFERROR($P136/Data_MeetingScheduled!$J$2,"n/a")</f>
        <v/>
      </c>
      <c r="R136" s="69" t="n"/>
      <c r="S136" s="73">
        <f>IFERROR($R136/$I136,"n/a")</f>
        <v/>
      </c>
      <c r="T136" s="72">
        <f>IFERROR($R136/$I136,"n/a")</f>
        <v/>
      </c>
      <c r="U136" s="69">
        <f>COUNTIFS(Data_CRM!$B$2:$B$1694,$A136,Data_CRM!$C$2:$C$1694,$B136,Data_CRM!$D$2:$D$1694,$C136)</f>
        <v/>
      </c>
      <c r="V136" s="69">
        <f>COUNTIFS(Data_CRM!$B$2:$B$1694,$A136,Data_CRM!$C$2:$C$1694,$B136,Data_CRM!$D$2:$D$1694,$C136,Data_CRM!$F$2:$F$1694,1)</f>
        <v/>
      </c>
      <c r="W136" s="70">
        <f>IFERROR($H136/$V136,"n/a")</f>
        <v/>
      </c>
      <c r="X136" s="72">
        <f>IFERROR(IF($U136=0,"n/a",$V136/$U136),"n/a")</f>
        <v/>
      </c>
    </row>
    <row r="137" ht="14.25" customHeight="1" s="54">
      <c r="A137" s="93" t="inlineStr">
        <is>
          <t>CRM Custom List_CBO_SO</t>
        </is>
      </c>
      <c r="B137" s="93" t="inlineStr">
        <is>
          <t>Qualified LAL All Models</t>
        </is>
      </c>
      <c r="C137" s="68" t="inlineStr">
        <is>
          <t>Stockist_Reel_LAL_Q</t>
        </is>
      </c>
      <c r="D137" s="67" t="inlineStr">
        <is>
          <t>not_delivering</t>
        </is>
      </c>
      <c r="E137" s="69" t="n">
        <v>1</v>
      </c>
      <c r="F137" s="67" t="inlineStr">
        <is>
          <t>conversion_leads:conversion_lead</t>
        </is>
      </c>
      <c r="G137" s="70">
        <f>IFERROR($H137/$E137,"n/a")</f>
        <v/>
      </c>
      <c r="H137" s="71" t="n">
        <v>0</v>
      </c>
      <c r="I137" s="69" t="n">
        <v>0</v>
      </c>
      <c r="J137" s="69" t="n">
        <v>0</v>
      </c>
      <c r="K137" s="67" t="inlineStr">
        <is>
          <t>7-day click or 1-day view</t>
        </is>
      </c>
      <c r="L137" s="67" t="inlineStr">
        <is>
          <t>-</t>
        </is>
      </c>
      <c r="M137" s="67" t="inlineStr">
        <is>
          <t>-</t>
        </is>
      </c>
      <c r="N137" s="67" t="inlineStr">
        <is>
          <t>-</t>
        </is>
      </c>
      <c r="O137" s="72">
        <f>IFERROR($H137/$I$79,"n/a")</f>
        <v/>
      </c>
      <c r="P137" s="69">
        <f>COUNTIFS(Data_MeetingScheduled!$C$2:$C$200,$A137,Data_MeetingScheduled!$D$2:$D$200,$B137,Data_MeetingScheduled!$E$2:$E$200,$C137)</f>
        <v/>
      </c>
      <c r="Q137" s="72">
        <f>IFERROR($P137/Data_MeetingScheduled!$J$2,"n/a")</f>
        <v/>
      </c>
      <c r="R137" s="69" t="n"/>
      <c r="S137" s="73">
        <f>IFERROR($R137/$I137,"n/a")</f>
        <v/>
      </c>
      <c r="T137" s="72">
        <f>IFERROR($R137/$I137,"n/a")</f>
        <v/>
      </c>
      <c r="U137" s="69">
        <f>COUNTIFS(Data_CRM!$B$2:$B$1694,$A137,Data_CRM!$C$2:$C$1694,$B137,Data_CRM!$D$2:$D$1694,$C137)</f>
        <v/>
      </c>
      <c r="V137" s="69">
        <f>COUNTIFS(Data_CRM!$B$2:$B$1694,$A137,Data_CRM!$C$2:$C$1694,$B137,Data_CRM!$D$2:$D$1694,$C137,Data_CRM!$F$2:$F$1694,1)</f>
        <v/>
      </c>
      <c r="W137" s="70">
        <f>IFERROR($H137/$V137,"n/a")</f>
        <v/>
      </c>
      <c r="X137" s="72">
        <f>IFERROR(IF($U137=0,"n/a",$V137/$U137),"n/a")</f>
        <v/>
      </c>
    </row>
    <row r="138" ht="14.25" customHeight="1" s="54">
      <c r="A138" s="93" t="inlineStr">
        <is>
          <t>CRM Custom List_CBO_SO</t>
        </is>
      </c>
      <c r="B138" s="93" t="inlineStr">
        <is>
          <t>Qualified LAL All Models</t>
        </is>
      </c>
      <c r="C138" s="68" t="inlineStr">
        <is>
          <t>LAL_Q_Signature Store_SO</t>
        </is>
      </c>
      <c r="D138" s="67" t="inlineStr">
        <is>
          <t>not_delivering</t>
        </is>
      </c>
      <c r="E138" s="69" t="n"/>
      <c r="F138" s="67" t="n"/>
      <c r="G138" s="70">
        <f>IFERROR($H138/$E138,"n/a")</f>
        <v/>
      </c>
      <c r="H138" s="71" t="n">
        <v>0</v>
      </c>
      <c r="I138" s="69" t="n">
        <v>0</v>
      </c>
      <c r="J138" s="69" t="n">
        <v>0</v>
      </c>
      <c r="K138" s="67" t="inlineStr">
        <is>
          <t>7-day click or 1-day view</t>
        </is>
      </c>
      <c r="L138" s="67" t="inlineStr">
        <is>
          <t>-</t>
        </is>
      </c>
      <c r="M138" s="67" t="inlineStr">
        <is>
          <t>-</t>
        </is>
      </c>
      <c r="N138" s="67" t="inlineStr">
        <is>
          <t>-</t>
        </is>
      </c>
      <c r="O138" s="72">
        <f>IFERROR($H138/$I$79,"n/a")</f>
        <v/>
      </c>
      <c r="P138" s="69">
        <f>COUNTIFS(Data_MeetingScheduled!$C$2:$C$200,$A138,Data_MeetingScheduled!$D$2:$D$200,$B138,Data_MeetingScheduled!$E$2:$E$200,$C138)</f>
        <v/>
      </c>
      <c r="Q138" s="72">
        <f>IFERROR($P138/Data_MeetingScheduled!$J$2,"n/a")</f>
        <v/>
      </c>
      <c r="R138" s="69" t="n"/>
      <c r="S138" s="73">
        <f>IFERROR($R138/$I138,"n/a")</f>
        <v/>
      </c>
      <c r="T138" s="72">
        <f>IFERROR($R138/$I138,"n/a")</f>
        <v/>
      </c>
      <c r="U138" s="69">
        <f>COUNTIFS(Data_CRM!$B$2:$B$1694,$A138,Data_CRM!$C$2:$C$1694,$B138,Data_CRM!$D$2:$D$1694,$C138)</f>
        <v/>
      </c>
      <c r="V138" s="69">
        <f>COUNTIFS(Data_CRM!$B$2:$B$1694,$A138,Data_CRM!$C$2:$C$1694,$B138,Data_CRM!$D$2:$D$1694,$C138,Data_CRM!$F$2:$F$1694,1)</f>
        <v/>
      </c>
      <c r="W138" s="70">
        <f>IFERROR($H138/$V138,"n/a")</f>
        <v/>
      </c>
      <c r="X138" s="72">
        <f>IFERROR(IF($U138=0,"n/a",$V138/$U138),"n/a")</f>
        <v/>
      </c>
    </row>
    <row r="139" ht="14.25" customHeight="1" s="54">
      <c r="A139" s="93" t="inlineStr">
        <is>
          <t>CRM Custom List_CBO_SO</t>
        </is>
      </c>
      <c r="B139" s="93" t="inlineStr">
        <is>
          <t>Qualified LAL All Models</t>
        </is>
      </c>
      <c r="C139" s="68" t="inlineStr">
        <is>
          <t>Stockist_5_Opportunity_LAL_Q</t>
        </is>
      </c>
      <c r="D139" s="67" t="inlineStr">
        <is>
          <t>not_delivering</t>
        </is>
      </c>
      <c r="E139" s="69" t="n"/>
      <c r="F139" s="67" t="n"/>
      <c r="G139" s="70">
        <f>IFERROR($H139/$E139,"n/a")</f>
        <v/>
      </c>
      <c r="H139" s="71" t="n">
        <v>0</v>
      </c>
      <c r="I139" s="69" t="n">
        <v>0</v>
      </c>
      <c r="J139" s="69" t="n">
        <v>0</v>
      </c>
      <c r="K139" s="67" t="inlineStr">
        <is>
          <t>-</t>
        </is>
      </c>
      <c r="L139" s="67" t="inlineStr">
        <is>
          <t>-</t>
        </is>
      </c>
      <c r="M139" s="67" t="inlineStr">
        <is>
          <t>-</t>
        </is>
      </c>
      <c r="N139" s="67" t="inlineStr">
        <is>
          <t>-</t>
        </is>
      </c>
      <c r="O139" s="72">
        <f>IFERROR($H139/$I$79,"n/a")</f>
        <v/>
      </c>
      <c r="P139" s="69">
        <f>COUNTIFS(Data_MeetingScheduled!$C$2:$C$200,$A139,Data_MeetingScheduled!$D$2:$D$200,$B139,Data_MeetingScheduled!$E$2:$E$200,$C139)</f>
        <v/>
      </c>
      <c r="Q139" s="72">
        <f>IFERROR($P139/Data_MeetingScheduled!$J$2,"n/a")</f>
        <v/>
      </c>
      <c r="R139" s="69" t="n"/>
      <c r="S139" s="73">
        <f>IFERROR($R139/$I139,"n/a")</f>
        <v/>
      </c>
      <c r="T139" s="72">
        <f>IFERROR($R139/$I139,"n/a")</f>
        <v/>
      </c>
      <c r="U139" s="69">
        <f>COUNTIFS(Data_CRM!$B$2:$B$1694,$A139,Data_CRM!$C$2:$C$1694,$B139,Data_CRM!$D$2:$D$1694,$C139)</f>
        <v/>
      </c>
      <c r="V139" s="69">
        <f>COUNTIFS(Data_CRM!$B$2:$B$1694,$A139,Data_CRM!$C$2:$C$1694,$B139,Data_CRM!$D$2:$D$1694,$C139,Data_CRM!$F$2:$F$1694,1)</f>
        <v/>
      </c>
      <c r="W139" s="70">
        <f>IFERROR($H139/$V139,"n/a")</f>
        <v/>
      </c>
      <c r="X139" s="72">
        <f>IFERROR(IF($U139=0,"n/a",$V139/$U139),"n/a")</f>
        <v/>
      </c>
    </row>
    <row r="140" ht="14.25" customHeight="1" s="54">
      <c r="A140" s="93" t="inlineStr">
        <is>
          <t>CRM Custom List_CBO_SO</t>
        </is>
      </c>
      <c r="B140" s="93" t="inlineStr">
        <is>
          <t>Qualified LAL All Models</t>
        </is>
      </c>
      <c r="C140" s="68" t="inlineStr">
        <is>
          <t>LAL_Q_ Signature_Store_Large Factory_Type</t>
        </is>
      </c>
      <c r="D140" s="67" t="inlineStr">
        <is>
          <t>inactive</t>
        </is>
      </c>
      <c r="E140" s="69" t="n"/>
      <c r="F140" s="67" t="n"/>
      <c r="G140" s="70">
        <f>IFERROR($H140/$E140,"n/a")</f>
        <v/>
      </c>
      <c r="H140" s="71" t="n">
        <v>0</v>
      </c>
      <c r="I140" s="69" t="n">
        <v>0</v>
      </c>
      <c r="J140" s="69" t="n">
        <v>0</v>
      </c>
      <c r="K140" s="67" t="inlineStr">
        <is>
          <t>7-day click or 1-day view</t>
        </is>
      </c>
      <c r="L140" s="67" t="inlineStr">
        <is>
          <t>-</t>
        </is>
      </c>
      <c r="M140" s="67" t="inlineStr">
        <is>
          <t>-</t>
        </is>
      </c>
      <c r="N140" s="67" t="inlineStr">
        <is>
          <t>-</t>
        </is>
      </c>
      <c r="O140" s="72">
        <f>IFERROR($H140/$I$79,"n/a")</f>
        <v/>
      </c>
      <c r="P140" s="69">
        <f>COUNTIFS(Data_MeetingScheduled!$C$2:$C$200,$A140,Data_MeetingScheduled!$D$2:$D$200,$B140,Data_MeetingScheduled!$E$2:$E$200,$C140)</f>
        <v/>
      </c>
      <c r="Q140" s="72">
        <f>IFERROR($P140/Data_MeetingScheduled!$J$2,"n/a")</f>
        <v/>
      </c>
      <c r="R140" s="69" t="n"/>
      <c r="S140" s="73">
        <f>IFERROR($R140/$I140,"n/a")</f>
        <v/>
      </c>
      <c r="T140" s="72">
        <f>IFERROR($R140/$I140,"n/a")</f>
        <v/>
      </c>
      <c r="U140" s="69">
        <f>COUNTIFS(Data_CRM!$B$2:$B$1694,$A140,Data_CRM!$C$2:$C$1694,$B140,Data_CRM!$D$2:$D$1694,$C140)</f>
        <v/>
      </c>
      <c r="V140" s="69">
        <f>COUNTIFS(Data_CRM!$B$2:$B$1694,$A140,Data_CRM!$C$2:$C$1694,$B140,Data_CRM!$D$2:$D$1694,$C140,Data_CRM!$F$2:$F$1694,1)</f>
        <v/>
      </c>
      <c r="W140" s="70">
        <f>IFERROR($H140/$V140,"n/a")</f>
        <v/>
      </c>
      <c r="X140" s="72">
        <f>IFERROR(IF($U140=0,"n/a",$V140/$U140),"n/a")</f>
        <v/>
      </c>
    </row>
    <row r="141" ht="14.25" customHeight="1" s="54">
      <c r="A141" s="93" t="inlineStr">
        <is>
          <t>CRM Custom List_CBO_SO</t>
        </is>
      </c>
      <c r="B141" s="93" t="inlineStr">
        <is>
          <t>Qualified LAL All Models</t>
        </is>
      </c>
      <c r="C141" s="68" t="inlineStr">
        <is>
          <t>LAL_Q_ Signature_Store_160_Glass</t>
        </is>
      </c>
      <c r="D141" s="67" t="inlineStr">
        <is>
          <t>not_delivering</t>
        </is>
      </c>
      <c r="E141" s="69" t="n"/>
      <c r="F141" s="67" t="n"/>
      <c r="G141" s="70">
        <f>IFERROR($H141/$E141,"n/a")</f>
        <v/>
      </c>
      <c r="H141" s="71" t="n">
        <v>0</v>
      </c>
      <c r="I141" s="69" t="n">
        <v>0</v>
      </c>
      <c r="J141" s="69" t="n">
        <v>0</v>
      </c>
      <c r="K141" s="67" t="inlineStr">
        <is>
          <t>7-day click or 1-day view</t>
        </is>
      </c>
      <c r="L141" s="67" t="inlineStr">
        <is>
          <t>-</t>
        </is>
      </c>
      <c r="M141" s="67" t="inlineStr">
        <is>
          <t>-</t>
        </is>
      </c>
      <c r="N141" s="67" t="inlineStr">
        <is>
          <t>-</t>
        </is>
      </c>
      <c r="O141" s="72">
        <f>IFERROR($H141/$I$79,"n/a")</f>
        <v/>
      </c>
      <c r="P141" s="69">
        <f>COUNTIFS(Data_MeetingScheduled!$C$2:$C$200,$A141,Data_MeetingScheduled!$D$2:$D$200,$B141,Data_MeetingScheduled!$E$2:$E$200,$C141)</f>
        <v/>
      </c>
      <c r="Q141" s="72">
        <f>IFERROR($P141/Data_MeetingScheduled!$J$2,"n/a")</f>
        <v/>
      </c>
      <c r="R141" s="69" t="n"/>
      <c r="S141" s="73">
        <f>IFERROR($R141/$I141,"n/a")</f>
        <v/>
      </c>
      <c r="T141" s="72">
        <f>IFERROR($R141/$I141,"n/a")</f>
        <v/>
      </c>
      <c r="U141" s="69">
        <f>COUNTIFS(Data_CRM!$B$2:$B$1694,$A141,Data_CRM!$C$2:$C$1694,$B141,Data_CRM!$D$2:$D$1694,$C141)</f>
        <v/>
      </c>
      <c r="V141" s="69">
        <f>COUNTIFS(Data_CRM!$B$2:$B$1694,$A141,Data_CRM!$C$2:$C$1694,$B141,Data_CRM!$D$2:$D$1694,$C141,Data_CRM!$F$2:$F$1694,1)</f>
        <v/>
      </c>
      <c r="W141" s="70">
        <f>IFERROR($H141/$V141,"n/a")</f>
        <v/>
      </c>
      <c r="X141" s="72">
        <f>IFERROR(IF($U141=0,"n/a",$V141/$U141),"n/a")</f>
        <v/>
      </c>
    </row>
    <row r="142" ht="14.25" customHeight="1" s="54">
      <c r="A142" s="93" t="inlineStr">
        <is>
          <t>CRM Custom List_CBO_SO</t>
        </is>
      </c>
      <c r="B142" s="93" t="inlineStr">
        <is>
          <t>Qualified LAL All Models</t>
        </is>
      </c>
      <c r="C142" s="68" t="inlineStr">
        <is>
          <t>Aug_Signature_Store_LAL_Q</t>
        </is>
      </c>
      <c r="D142" s="67" t="inlineStr">
        <is>
          <t>not_delivering</t>
        </is>
      </c>
      <c r="E142" s="69" t="n"/>
      <c r="F142" s="67" t="n"/>
      <c r="G142" s="70">
        <f>IFERROR($H142/$E142,"n/a")</f>
        <v/>
      </c>
      <c r="H142" s="71" t="n">
        <v>0</v>
      </c>
      <c r="I142" s="69" t="n">
        <v>0</v>
      </c>
      <c r="J142" s="69" t="n">
        <v>0</v>
      </c>
      <c r="K142" s="67" t="inlineStr">
        <is>
          <t>-</t>
        </is>
      </c>
      <c r="L142" s="67" t="inlineStr">
        <is>
          <t>-</t>
        </is>
      </c>
      <c r="M142" s="67" t="inlineStr">
        <is>
          <t>-</t>
        </is>
      </c>
      <c r="N142" s="67" t="inlineStr">
        <is>
          <t>-</t>
        </is>
      </c>
      <c r="O142" s="72">
        <f>IFERROR($H142/$I$79,"n/a")</f>
        <v/>
      </c>
      <c r="P142" s="69">
        <f>COUNTIFS(Data_MeetingScheduled!$C$2:$C$200,$A142,Data_MeetingScheduled!$D$2:$D$200,$B142,Data_MeetingScheduled!$E$2:$E$200,$C142)</f>
        <v/>
      </c>
      <c r="Q142" s="72">
        <f>IFERROR($P142/Data_MeetingScheduled!$J$2,"n/a")</f>
        <v/>
      </c>
      <c r="R142" s="69" t="n"/>
      <c r="S142" s="73">
        <f>IFERROR($R142/$I142,"n/a")</f>
        <v/>
      </c>
      <c r="T142" s="72">
        <f>IFERROR($R142/$I142,"n/a")</f>
        <v/>
      </c>
      <c r="U142" s="69">
        <f>COUNTIFS(Data_CRM!$B$2:$B$1694,$A142,Data_CRM!$C$2:$C$1694,$B142,Data_CRM!$D$2:$D$1694,$C142)</f>
        <v/>
      </c>
      <c r="V142" s="69">
        <f>COUNTIFS(Data_CRM!$B$2:$B$1694,$A142,Data_CRM!$C$2:$C$1694,$B142,Data_CRM!$D$2:$D$1694,$C142,Data_CRM!$F$2:$F$1694,1)</f>
        <v/>
      </c>
      <c r="W142" s="70">
        <f>IFERROR($H142/$V142,"n/a")</f>
        <v/>
      </c>
      <c r="X142" s="72">
        <f>IFERROR(IF($U142=0,"n/a",$V142/$U142),"n/a")</f>
        <v/>
      </c>
    </row>
    <row r="143" ht="14.25" customHeight="1" s="54">
      <c r="A143" s="75" t="inlineStr">
        <is>
          <t>Subtotal — Qualified LAL All Models</t>
        </is>
      </c>
      <c r="B143" s="95" t="n"/>
      <c r="C143" s="94" t="n"/>
      <c r="D143" s="103" t="n"/>
      <c r="E143" s="76">
        <f>SUM(E133:E142)</f>
        <v/>
      </c>
      <c r="F143" s="103" t="n"/>
      <c r="H143" s="78">
        <f>SUM(H133:H142)</f>
        <v/>
      </c>
      <c r="I143" s="76">
        <f>SUM(I133:I142)</f>
        <v/>
      </c>
      <c r="J143" s="76">
        <f>SUM(J133:J142)</f>
        <v/>
      </c>
      <c r="K143" s="103" t="n"/>
      <c r="L143" s="103" t="n"/>
      <c r="M143" s="103" t="n"/>
      <c r="N143" s="103" t="n"/>
      <c r="O143" s="79">
        <f>SUM(O133:O142)</f>
        <v/>
      </c>
      <c r="P143" s="76">
        <f>SUM(P133:P142)</f>
        <v/>
      </c>
      <c r="Q143" s="79">
        <f>IFERROR($P143/Data_MeetingScheduled!$J$2,"n/a")</f>
        <v/>
      </c>
      <c r="R143" s="76">
        <f>SUM(R133:R142)</f>
        <v/>
      </c>
      <c r="S143" s="80">
        <f>IFERROR($R143/$I143,"n/a")</f>
        <v/>
      </c>
      <c r="T143" s="79">
        <f>IFERROR($R143/$I143,"n/a")</f>
        <v/>
      </c>
      <c r="U143" s="76">
        <f>SUM(U133:U142)</f>
        <v/>
      </c>
      <c r="V143" s="76">
        <f>SUM(V133:V142)</f>
        <v/>
      </c>
      <c r="W143" s="77">
        <f>IFERROR($H143/$V143,"n/a")</f>
        <v/>
      </c>
      <c r="X143" s="79">
        <f>IFERROR(IF($U143=0,"n/a",$V143/$U143),"n/a")</f>
        <v/>
      </c>
    </row>
    <row r="144" ht="15.75" customHeight="1" s="54">
      <c r="A144" s="89" t="inlineStr">
        <is>
          <t>GRAND TOTAL — ALL ADS (this export)</t>
        </is>
      </c>
      <c r="B144" s="95" t="n"/>
      <c r="C144" s="94" t="n"/>
      <c r="D144" s="96" t="n"/>
      <c r="E144" s="90">
        <f>SUM(E86,E87,E88,E89,E90,E91,E92,E93,E94,E95,E96,E97,E98,E99,E100,E101,E102,E103,E105,E106,E107,E108,E110,E112,E113,E115,E117,E118,E120,E122,E124,E126,E127,E128,E129,E130,E131,E133,E134,E135,E136,E137,E138,E139,E140,E141,E142)</f>
        <v/>
      </c>
      <c r="F144" s="96" t="n"/>
      <c r="G144" s="96" t="n"/>
      <c r="H144" s="97">
        <f>SUM(H86,H87,H88,H89,H90,H91,H92,H93,H94,H95,H96,H97,H98,H99,H100,H101,H102,H103,H105,H106,H107,H108,H110,H112,H113,H115,H117,H118,H120,H122,H124,H126,H127,H128,H129,H130,H131,H133,H134,H135,H136,H137,H138,H139,H140,H141,H142)</f>
        <v/>
      </c>
      <c r="I144" s="90">
        <f>SUM(I86,I87,I88,I89,I90,I91,I92,I93,I94,I95,I96,I97,I98,I99,I100,I101,I102,I103,I105,I106,I107,I108,I110,I112,I113,I115,I117,I118,I120,I122,I124,I126,I127,I128,I129,I130,I131,I133,I134,I135,I136,I137,I138,I139,I140,I141,I142)</f>
        <v/>
      </c>
      <c r="J144" s="96" t="n"/>
      <c r="K144" s="96" t="n"/>
      <c r="L144" s="96" t="n"/>
      <c r="M144" s="96" t="n"/>
      <c r="N144" s="96" t="n"/>
      <c r="O144" s="96" t="n"/>
      <c r="P144" s="90">
        <f>SUM(P86,P87,P88,P89,P90,P91,P92,P93,P94,P95,P96,P97,P98,P99,P100,P101,P102,P103,P105,P106,P107,P108,P110,P112,P113,P115,P117,P118,P120,P122,P124,P126,P127,P128,P129,P130,P131,P133,P134,P135,P136,P137,P138,P139,P140,P141,P142)</f>
        <v/>
      </c>
      <c r="Q144" s="91">
        <f>IFERROR($P144/Data_MeetingScheduled!$J$2,"n/a")</f>
        <v/>
      </c>
      <c r="R144" s="90">
        <f>SUM(R86,R87,R88,R89,R90,R91,R92,R93,R94,R95,R96,R97,R98,R99,R100,R101,R102,R103,R105,R106,R107,R108,R110,R112,R113,R115,R117,R118,R120,R122,R124,R126,R127,R128,R129,R130,R131,R133,R134,R135,R136,R137,R138,R139,R140,R141,R142)</f>
        <v/>
      </c>
      <c r="S144" s="98">
        <f>IFERROR($R144/$I144,"n/a")</f>
        <v/>
      </c>
      <c r="T144" s="91">
        <f>IFERROR($R144/$I144,"n/a")</f>
        <v/>
      </c>
      <c r="U144" s="90">
        <f>SUM(U86,U87,U88,U89,U90,U91,U92,U93,U94,U95,U96,U97,U98,U99,U100,U101,U102,U103,U105,U106,U107,U108,U110,U112,U113,U115,U117,U118,U120,U122,U124,U126,U127,U128,U129,U130,U131,U133,U134,U135,U136,U137,U138,U139,U140,U141,U142)</f>
        <v/>
      </c>
      <c r="V144" s="90">
        <f>SUM(V86,V87,V88,V89,V90,V91,V92,V93,V94,V95,V96,V97,V98,V99,V100,V101,V102,V103,V105,V106,V107,V108,V110,V112,V113,V115,V117,V118,V120,V122,V124,V126,V127,V128,V129,V130,V131,V133,V134,V135,V136,V137,V138,V139,V140,V141,V142)</f>
        <v/>
      </c>
      <c r="W144" s="99">
        <f>IFERROR($H144/$V144,"n/a")</f>
        <v/>
      </c>
      <c r="X144" s="91">
        <f>IFERROR(IF($U144=0,"n/a",$V144/$U144),"n/a")</f>
        <v/>
      </c>
    </row>
    <row r="145" ht="33.75" customHeight="1" s="54">
      <c r="A145" s="104" t="n"/>
      <c r="B145" s="105" t="n"/>
      <c r="C145" s="105" t="n"/>
      <c r="D145" s="105" t="n"/>
      <c r="E145" s="105" t="n"/>
      <c r="F145" s="105" t="n"/>
      <c r="G145" s="105" t="n"/>
      <c r="H145" s="105" t="n"/>
      <c r="I145" s="105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5" t="n"/>
      <c r="T145" s="105" t="n"/>
      <c r="U145" s="105" t="n"/>
      <c r="V145" s="105" t="n"/>
      <c r="W145" s="105" t="n"/>
      <c r="X145" s="105" t="n"/>
      <c r="Y145" s="105" t="n"/>
      <c r="Z145" s="105" t="n"/>
    </row>
    <row r="147" ht="19.5" customHeight="1" s="54">
      <c r="A147" s="106" t="inlineStr">
        <is>
          <t>KEY INSIGHTS — OCTOBER 2026 MTD (1–28 Oct) &amp; FTD (28 Oct)</t>
        </is>
      </c>
    </row>
    <row r="148" ht="30" customHeight="1" s="54">
      <c r="A148" s="107" t="inlineStr">
        <is>
          <t>🔎</t>
        </is>
      </c>
      <c r="B148" s="64" t="n"/>
      <c r="C148" s="108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4" t="n"/>
    </row>
    <row r="149" ht="49.5" customHeight="1" s="54">
      <c r="A149" s="107" t="inlineStr">
        <is>
          <t>🚨</t>
        </is>
      </c>
      <c r="B149" s="64" t="n"/>
      <c r="C149" s="108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4" t="n"/>
    </row>
    <row r="150" ht="78" customHeight="1" s="54">
      <c r="A150" s="107" t="inlineStr">
        <is>
          <t>📈</t>
        </is>
      </c>
      <c r="B150" s="64" t="n"/>
      <c r="C150" s="108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4" t="n"/>
    </row>
    <row r="151" ht="30" customHeight="1" s="54">
      <c r="A151" s="107" t="inlineStr">
        <is>
          <t>🏆</t>
        </is>
      </c>
      <c r="B151" s="64" t="n"/>
      <c r="C151" s="108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4" t="n"/>
    </row>
    <row r="152" ht="30" customHeight="1" s="54">
      <c r="A152" s="107" t="inlineStr">
        <is>
          <t>⭐</t>
        </is>
      </c>
      <c r="B152" s="64" t="n"/>
      <c r="C152" s="108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4" t="n"/>
    </row>
    <row r="153" ht="30" customHeight="1" s="54">
      <c r="A153" s="107" t="inlineStr">
        <is>
          <t>⚠️</t>
        </is>
      </c>
      <c r="B153" s="64" t="n"/>
      <c r="C153" s="108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4" t="n"/>
    </row>
    <row r="154" ht="30" customHeight="1" s="54">
      <c r="A154" s="107" t="inlineStr">
        <is>
          <t>🎯</t>
        </is>
      </c>
      <c r="B154" s="64" t="n"/>
      <c r="C154" s="108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4" t="n"/>
    </row>
    <row r="155" ht="34.5" customHeight="1" s="54">
      <c r="A155" s="107" t="inlineStr">
        <is>
          <t>🤝</t>
        </is>
      </c>
      <c r="B155" s="64" t="n"/>
      <c r="C155" s="108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4" t="n"/>
    </row>
    <row r="156" ht="30" customHeight="1" s="54">
      <c r="A156" s="107" t="inlineStr">
        <is>
          <t>💰</t>
        </is>
      </c>
      <c r="B156" s="64" t="n"/>
      <c r="C156" s="108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4" t="n"/>
    </row>
    <row r="157" ht="34.5" customHeight="1" s="54">
      <c r="A157" s="107" t="inlineStr">
        <is>
          <t>📊</t>
        </is>
      </c>
      <c r="B157" s="64" t="n"/>
      <c r="C157" s="108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4" t="n"/>
    </row>
    <row r="159" ht="48" customHeight="1" s="54">
      <c r="A159" s="84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4" t="n"/>
    </row>
  </sheetData>
  <mergeCells count="88">
    <mergeCell ref="A5:D5"/>
    <mergeCell ref="M8:S8"/>
    <mergeCell ref="C152:Z152"/>
    <mergeCell ref="A70:B70"/>
    <mergeCell ref="Q6:S6"/>
    <mergeCell ref="A36:Z36"/>
    <mergeCell ref="A54:B54"/>
    <mergeCell ref="A1:Z1"/>
    <mergeCell ref="A74:B74"/>
    <mergeCell ref="T9:X9"/>
    <mergeCell ref="A154:B154"/>
    <mergeCell ref="T6:V6"/>
    <mergeCell ref="C153:Z153"/>
    <mergeCell ref="E8:H8"/>
    <mergeCell ref="A12:Z12"/>
    <mergeCell ref="C154:Z154"/>
    <mergeCell ref="A32:Z32"/>
    <mergeCell ref="A14:Z14"/>
    <mergeCell ref="A159:Z159"/>
    <mergeCell ref="A132:C132"/>
    <mergeCell ref="A119:C119"/>
    <mergeCell ref="A4:Z4"/>
    <mergeCell ref="C156:Z156"/>
    <mergeCell ref="A147:Z147"/>
    <mergeCell ref="A31:Q31"/>
    <mergeCell ref="Q5:S5"/>
    <mergeCell ref="W6:X6"/>
    <mergeCell ref="A82:Z82"/>
    <mergeCell ref="A61:B61"/>
    <mergeCell ref="A104:C104"/>
    <mergeCell ref="A153:B153"/>
    <mergeCell ref="A9:D9"/>
    <mergeCell ref="I6:L6"/>
    <mergeCell ref="A16:Z16"/>
    <mergeCell ref="A81:C81"/>
    <mergeCell ref="E5:H5"/>
    <mergeCell ref="A121:C121"/>
    <mergeCell ref="C150:Z150"/>
    <mergeCell ref="M9:S9"/>
    <mergeCell ref="A84:Z84"/>
    <mergeCell ref="A50:Z50"/>
    <mergeCell ref="A2:Z2"/>
    <mergeCell ref="T8:X8"/>
    <mergeCell ref="T5:V5"/>
    <mergeCell ref="A123:C123"/>
    <mergeCell ref="A63:B63"/>
    <mergeCell ref="A155:B155"/>
    <mergeCell ref="A157:B157"/>
    <mergeCell ref="A13:Z13"/>
    <mergeCell ref="A8:D8"/>
    <mergeCell ref="A15:Z15"/>
    <mergeCell ref="W5:X5"/>
    <mergeCell ref="A78:B78"/>
    <mergeCell ref="C148:Z148"/>
    <mergeCell ref="I9:L9"/>
    <mergeCell ref="A144:C144"/>
    <mergeCell ref="A80:B80"/>
    <mergeCell ref="A125:C125"/>
    <mergeCell ref="M5:P5"/>
    <mergeCell ref="A57:B57"/>
    <mergeCell ref="C149:Z149"/>
    <mergeCell ref="A114:C114"/>
    <mergeCell ref="A33:Z33"/>
    <mergeCell ref="A17:Z17"/>
    <mergeCell ref="A156:B156"/>
    <mergeCell ref="E6:H6"/>
    <mergeCell ref="A35:Z35"/>
    <mergeCell ref="A67:B67"/>
    <mergeCell ref="A19:Z19"/>
    <mergeCell ref="A148:B148"/>
    <mergeCell ref="I8:L8"/>
    <mergeCell ref="A11:Z11"/>
    <mergeCell ref="A116:C116"/>
    <mergeCell ref="A149:B149"/>
    <mergeCell ref="A109:C109"/>
    <mergeCell ref="A6:D6"/>
    <mergeCell ref="A151:B151"/>
    <mergeCell ref="A111:C111"/>
    <mergeCell ref="A145:Z145"/>
    <mergeCell ref="A143:C143"/>
    <mergeCell ref="A150:B150"/>
    <mergeCell ref="C155:Z155"/>
    <mergeCell ref="E9:H9"/>
    <mergeCell ref="A152:B152"/>
    <mergeCell ref="C157:Z157"/>
    <mergeCell ref="C151:Z151"/>
    <mergeCell ref="M6:P6"/>
    <mergeCell ref="I5:L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4.25" zeroHeight="0" outlineLevelRow="0"/>
  <sheetData>
    <row r="1" ht="14.25" customHeight="1" s="54">
      <c r="A1" s="83" t="inlineStr">
        <is>
          <t>Reporting starts</t>
        </is>
      </c>
      <c r="B1" s="83" t="inlineStr">
        <is>
          <t>Reporting ends</t>
        </is>
      </c>
      <c r="C1" s="83" t="inlineStr">
        <is>
          <t>Campaign name</t>
        </is>
      </c>
      <c r="D1" s="83" t="inlineStr">
        <is>
          <t>Campaign delivery</t>
        </is>
      </c>
      <c r="E1" s="83" t="inlineStr">
        <is>
          <t>Results</t>
        </is>
      </c>
      <c r="F1" s="83" t="inlineStr">
        <is>
          <t>Result indicator</t>
        </is>
      </c>
      <c r="G1" s="83" t="inlineStr">
        <is>
          <t>Cost per results</t>
        </is>
      </c>
      <c r="H1" s="83" t="inlineStr">
        <is>
          <t>Ad set budget</t>
        </is>
      </c>
      <c r="I1" s="83" t="inlineStr">
        <is>
          <t>Ad set budget type</t>
        </is>
      </c>
      <c r="J1" s="83" t="inlineStr">
        <is>
          <t>Amount spent (INR)</t>
        </is>
      </c>
      <c r="K1" s="83" t="inlineStr">
        <is>
          <t>Impressions</t>
        </is>
      </c>
      <c r="L1" s="83" t="inlineStr">
        <is>
          <t>Reach</t>
        </is>
      </c>
      <c r="M1" s="83" t="inlineStr">
        <is>
          <t>Ends</t>
        </is>
      </c>
      <c r="N1" s="83" t="inlineStr">
        <is>
          <t>Attribution setting</t>
        </is>
      </c>
      <c r="O1" s="83" t="inlineStr">
        <is>
          <t>Link clicks</t>
        </is>
      </c>
    </row>
    <row r="2" ht="14.25" customHeight="1" s="54"/>
    <row r="3" ht="14.25" customHeight="1" s="54"/>
    <row r="4" ht="14.25" customHeight="1" s="54"/>
    <row r="5" ht="14.25" customHeight="1" s="54"/>
    <row r="6" ht="14.25" customHeight="1" s="54"/>
    <row r="7" ht="14.25" customHeight="1" s="54"/>
    <row r="8" ht="14.25" customHeight="1" s="54"/>
    <row r="9" ht="14.25" customHeight="1" s="54"/>
    <row r="10" ht="14.25" customHeight="1" s="54"/>
    <row r="11" ht="14.25" customHeight="1" s="54"/>
    <row r="12" ht="14.25" customHeight="1" s="54"/>
    <row r="13" ht="14.25" customHeight="1" s="54"/>
    <row r="14" ht="14.25" customHeight="1" s="54"/>
    <row r="15" ht="14.25" customHeight="1" s="5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4.25" zeroHeight="0" outlineLevelRow="0"/>
  <sheetData>
    <row r="1" ht="14.25" customHeight="1" s="54">
      <c r="A1" s="83" t="inlineStr">
        <is>
          <t>Reporting starts</t>
        </is>
      </c>
      <c r="B1" s="83" t="inlineStr">
        <is>
          <t>Reporting ends</t>
        </is>
      </c>
      <c r="C1" s="83" t="inlineStr">
        <is>
          <t>Ad set name</t>
        </is>
      </c>
      <c r="D1" s="83" t="inlineStr">
        <is>
          <t>Ad set delivery</t>
        </is>
      </c>
      <c r="E1" s="83" t="inlineStr">
        <is>
          <t>Results</t>
        </is>
      </c>
      <c r="F1" s="83" t="inlineStr">
        <is>
          <t>Result indicator</t>
        </is>
      </c>
      <c r="G1" s="83" t="inlineStr">
        <is>
          <t>Cost per results</t>
        </is>
      </c>
      <c r="H1" s="83" t="inlineStr">
        <is>
          <t>Ad set budget</t>
        </is>
      </c>
      <c r="I1" s="83" t="inlineStr">
        <is>
          <t>Ad set budget type</t>
        </is>
      </c>
      <c r="J1" s="83" t="inlineStr">
        <is>
          <t>Amount spent (INR)</t>
        </is>
      </c>
      <c r="K1" s="83" t="inlineStr">
        <is>
          <t>Impressions</t>
        </is>
      </c>
      <c r="L1" s="83" t="inlineStr">
        <is>
          <t>Reach</t>
        </is>
      </c>
      <c r="M1" s="83" t="inlineStr">
        <is>
          <t>Link clicks</t>
        </is>
      </c>
      <c r="N1" s="83" t="inlineStr">
        <is>
          <t>Ends</t>
        </is>
      </c>
      <c r="O1" s="83" t="inlineStr">
        <is>
          <t>Starts</t>
        </is>
      </c>
      <c r="P1" s="83" t="inlineStr">
        <is>
          <t>Attribution setting</t>
        </is>
      </c>
      <c r="Q1" s="83" t="inlineStr">
        <is>
          <t>Bid</t>
        </is>
      </c>
      <c r="R1" s="83" t="inlineStr">
        <is>
          <t>Bid type</t>
        </is>
      </c>
      <c r="S1" s="83" t="inlineStr">
        <is>
          <t>Last significant edit</t>
        </is>
      </c>
      <c r="T1" s="83" t="inlineStr">
        <is>
          <t>Parent Campaign</t>
        </is>
      </c>
    </row>
    <row r="2" ht="14.25" customHeight="1" s="54"/>
    <row r="3" ht="14.25" customHeight="1" s="54"/>
    <row r="4" ht="14.25" customHeight="1" s="54"/>
    <row r="5" ht="14.25" customHeight="1" s="54"/>
    <row r="6" ht="14.25" customHeight="1" s="54"/>
    <row r="7" ht="14.25" customHeight="1" s="54"/>
    <row r="8" ht="14.25" customHeight="1" s="54"/>
    <row r="9" ht="14.25" customHeight="1" s="54"/>
    <row r="10" ht="14.25" customHeight="1" s="54"/>
    <row r="11" ht="14.25" customHeight="1" s="54"/>
    <row r="12" ht="14.25" customHeight="1" s="54"/>
    <row r="13" ht="14.25" customHeight="1" s="54"/>
    <row r="14" ht="14.25" customHeight="1" s="54"/>
    <row r="15" ht="14.25" customHeight="1" s="54"/>
    <row r="16" ht="14.25" customHeight="1" s="54"/>
    <row r="17" ht="14.25" customHeight="1" s="54"/>
    <row r="18" ht="14.25" customHeight="1" s="54"/>
    <row r="19" ht="14.25" customHeight="1" s="54"/>
    <row r="20" ht="14.25" customHeight="1" s="54"/>
    <row r="21" ht="14.25" customHeight="1" s="54"/>
    <row r="22" ht="14.25" customHeight="1" s="54"/>
    <row r="23" ht="14.25" customHeight="1" s="54"/>
    <row r="24" ht="14.25" customHeight="1" s="54"/>
    <row r="25" ht="14.25" customHeight="1" s="54"/>
    <row r="26" ht="14.25" customHeight="1" s="5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X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4.25" zeroHeight="0" outlineLevelRow="0"/>
  <sheetData>
    <row r="1" ht="14.25" customHeight="1" s="54">
      <c r="A1" s="83" t="inlineStr">
        <is>
          <t>Reporting starts</t>
        </is>
      </c>
      <c r="B1" s="83" t="inlineStr">
        <is>
          <t>Reporting ends</t>
        </is>
      </c>
      <c r="C1" s="83" t="inlineStr">
        <is>
          <t>Ad name</t>
        </is>
      </c>
      <c r="D1" s="83" t="inlineStr">
        <is>
          <t>Ad delivery</t>
        </is>
      </c>
      <c r="E1" s="83" t="inlineStr">
        <is>
          <t>Results</t>
        </is>
      </c>
      <c r="F1" s="83" t="inlineStr">
        <is>
          <t>Result indicator</t>
        </is>
      </c>
      <c r="G1" s="83" t="inlineStr">
        <is>
          <t>Cost per results</t>
        </is>
      </c>
      <c r="H1" s="83" t="inlineStr">
        <is>
          <t>Ad set budget</t>
        </is>
      </c>
      <c r="I1" s="83" t="inlineStr">
        <is>
          <t>Ad set budget type</t>
        </is>
      </c>
      <c r="J1" s="83" t="inlineStr">
        <is>
          <t>Amount spent (INR)</t>
        </is>
      </c>
      <c r="K1" s="83" t="inlineStr">
        <is>
          <t>Impressions</t>
        </is>
      </c>
      <c r="L1" s="83" t="inlineStr">
        <is>
          <t>Reach</t>
        </is>
      </c>
      <c r="M1" s="83" t="inlineStr">
        <is>
          <t>Link clicks</t>
        </is>
      </c>
      <c r="N1" s="83" t="inlineStr">
        <is>
          <t>Ends</t>
        </is>
      </c>
      <c r="O1" s="83" t="inlineStr">
        <is>
          <t>Attribution setting</t>
        </is>
      </c>
      <c r="P1" s="83" t="inlineStr">
        <is>
          <t>Bid</t>
        </is>
      </c>
      <c r="Q1" s="83" t="inlineStr">
        <is>
          <t>Bid type</t>
        </is>
      </c>
      <c r="R1" s="83" t="inlineStr">
        <is>
          <t>Last significant edit</t>
        </is>
      </c>
      <c r="S1" s="83" t="inlineStr">
        <is>
          <t>Quality ranking</t>
        </is>
      </c>
      <c r="T1" s="83" t="inlineStr">
        <is>
          <t>Engagement rate ranking</t>
        </is>
      </c>
      <c r="U1" s="83" t="inlineStr">
        <is>
          <t>Conversion rate ranking</t>
        </is>
      </c>
      <c r="V1" s="83" t="inlineStr">
        <is>
          <t>Ad set name</t>
        </is>
      </c>
      <c r="W1" s="83" t="inlineStr">
        <is>
          <t>Parent Campaign</t>
        </is>
      </c>
      <c r="X1" s="83" t="inlineStr">
        <is>
          <t>Match Key</t>
        </is>
      </c>
    </row>
    <row r="2" ht="14.25" customHeight="1" s="54"/>
    <row r="3" ht="14.25" customHeight="1" s="54"/>
    <row r="4" ht="14.25" customHeight="1" s="54"/>
    <row r="5" ht="14.25" customHeight="1" s="54"/>
    <row r="6" ht="14.25" customHeight="1" s="54"/>
    <row r="7" ht="14.25" customHeight="1" s="54"/>
    <row r="8" ht="14.25" customHeight="1" s="54"/>
    <row r="9" ht="14.25" customHeight="1" s="54"/>
    <row r="10" ht="14.25" customHeight="1" s="54"/>
    <row r="11" ht="14.25" customHeight="1" s="54"/>
    <row r="12" ht="14.25" customHeight="1" s="54"/>
    <row r="13" ht="14.25" customHeight="1" s="54"/>
    <row r="14" ht="14.25" customHeight="1" s="54"/>
    <row r="15" ht="14.25" customHeight="1" s="54"/>
    <row r="16" ht="14.25" customHeight="1" s="54"/>
    <row r="17" ht="14.25" customHeight="1" s="54"/>
    <row r="18" ht="14.25" customHeight="1" s="54"/>
    <row r="19" ht="14.25" customHeight="1" s="54"/>
    <row r="20" ht="14.25" customHeight="1" s="54"/>
    <row r="21" ht="14.25" customHeight="1" s="54"/>
    <row r="22" ht="14.25" customHeight="1" s="54"/>
    <row r="23" ht="14.25" customHeight="1" s="54"/>
    <row r="24" ht="14.25" customHeight="1" s="54"/>
    <row r="25" ht="14.25" customHeight="1" s="54"/>
    <row r="26" ht="14.25" customHeight="1" s="54"/>
    <row r="27" ht="14.25" customHeight="1" s="54"/>
    <row r="28" ht="14.25" customHeight="1" s="54"/>
    <row r="29" ht="14.25" customHeight="1" s="54"/>
    <row r="30" ht="14.25" customHeight="1" s="54"/>
    <row r="31" ht="14.25" customHeight="1" s="54"/>
    <row r="32" ht="14.25" customHeight="1" s="54"/>
    <row r="33" ht="14.25" customHeight="1" s="54"/>
    <row r="34" ht="14.25" customHeight="1" s="54"/>
    <row r="35" ht="14.25" customHeight="1" s="54"/>
    <row r="36" ht="14.25" customHeight="1" s="54"/>
    <row r="37" ht="14.25" customHeight="1" s="54"/>
    <row r="38" ht="14.25" customHeight="1" s="54"/>
    <row r="39" ht="14.25" customHeight="1" s="54"/>
    <row r="40" ht="14.25" customHeight="1" s="54"/>
    <row r="41" ht="14.25" customHeight="1" s="54"/>
    <row r="42" ht="14.25" customHeight="1" s="54"/>
    <row r="43" ht="14.25" customHeight="1" s="54"/>
    <row r="44" ht="14.25" customHeight="1" s="54"/>
    <row r="45" ht="14.25" customHeight="1" s="54"/>
    <row r="46" ht="14.25" customHeight="1" s="54"/>
    <row r="47" ht="14.25" customHeight="1" s="54"/>
    <row r="48" ht="14.25" customHeight="1" s="5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4.25" zeroHeight="0" outlineLevelRow="0"/>
  <cols>
    <col width="42" customWidth="1" style="53" min="9" max="9"/>
  </cols>
  <sheetData>
    <row r="1" ht="14.25" customHeight="1" s="54">
      <c r="A1" s="83" t="inlineStr">
        <is>
          <t>Lead Date</t>
        </is>
      </c>
      <c r="B1" s="83" t="inlineStr">
        <is>
          <t>Mapped Campaign (LeadChain)</t>
        </is>
      </c>
      <c r="C1" s="83" t="inlineStr">
        <is>
          <t>Mapped Ad Set (LeadChain)</t>
        </is>
      </c>
      <c r="D1" s="83" t="inlineStr">
        <is>
          <t>Mapped Ad (LeadChain)</t>
        </is>
      </c>
      <c r="E1" s="83" t="inlineStr">
        <is>
          <t>Lead Status</t>
        </is>
      </c>
      <c r="F1" s="83" t="inlineStr">
        <is>
          <t>Qualified (1/0)</t>
        </is>
      </c>
      <c r="G1" s="83" t="inlineStr">
        <is>
          <t>Meeting (1/0)</t>
        </is>
      </c>
      <c r="H1" s="83" t="inlineStr">
        <is>
          <t>Social Lead ID</t>
        </is>
      </c>
      <c r="I1" s="83" t="inlineStr">
        <is>
          <t>PARAMETERS</t>
        </is>
      </c>
    </row>
    <row r="2" ht="14.25" customHeight="1" s="54"/>
    <row r="3" ht="14.25" customHeight="1" s="54"/>
    <row r="4" ht="14.25" customHeight="1" s="54"/>
    <row r="5" ht="14.25" customHeight="1" s="54"/>
    <row r="6" ht="14.25" customHeight="1" s="54"/>
    <row r="7" ht="14.25" customHeight="1" s="54"/>
    <row r="8" ht="14.25" customHeight="1" s="54"/>
    <row r="9" ht="14.25" customHeight="1" s="54"/>
    <row r="10" ht="14.25" customHeight="1" s="54"/>
    <row r="11" ht="14.25" customHeight="1" s="54"/>
    <row r="12" ht="14.25" customHeight="1" s="54"/>
    <row r="13" ht="14.25" customHeight="1" s="54"/>
    <row r="14" ht="14.25" customHeight="1" s="54"/>
    <row r="15" ht="14.25" customHeight="1" s="54"/>
    <row r="16" ht="14.25" customHeight="1" s="54"/>
    <row r="17" ht="14.25" customHeight="1" s="54"/>
    <row r="18" ht="14.25" customHeight="1" s="54"/>
    <row r="19" ht="14.25" customHeight="1" s="54"/>
    <row r="20" ht="14.25" customHeight="1" s="54"/>
    <row r="21" ht="14.25" customHeight="1" s="54"/>
    <row r="22" ht="14.25" customHeight="1" s="54"/>
    <row r="23" ht="14.25" customHeight="1" s="54"/>
    <row r="24" ht="14.25" customHeight="1" s="54"/>
    <row r="25" ht="14.25" customHeight="1" s="54"/>
    <row r="26" ht="14.25" customHeight="1" s="54"/>
    <row r="27" ht="14.25" customHeight="1" s="54"/>
    <row r="28" ht="14.25" customHeight="1" s="54"/>
    <row r="29" ht="14.25" customHeight="1" s="54"/>
    <row r="30" ht="14.25" customHeight="1" s="54"/>
    <row r="31" ht="14.25" customHeight="1" s="54"/>
    <row r="32" ht="14.25" customHeight="1" s="54"/>
    <row r="33" ht="14.25" customHeight="1" s="54"/>
    <row r="34" ht="14.25" customHeight="1" s="54"/>
    <row r="35" ht="14.25" customHeight="1" s="54"/>
    <row r="36" ht="14.25" customHeight="1" s="54"/>
    <row r="37" ht="14.25" customHeight="1" s="54"/>
    <row r="38" ht="14.25" customHeight="1" s="54"/>
    <row r="39" ht="14.25" customHeight="1" s="54"/>
    <row r="40" ht="14.25" customHeight="1" s="54"/>
    <row r="41" ht="14.25" customHeight="1" s="54"/>
    <row r="42" ht="14.25" customHeight="1" s="54"/>
    <row r="43" ht="14.25" customHeight="1" s="54"/>
    <row r="44" ht="14.25" customHeight="1" s="54"/>
    <row r="45" ht="14.25" customHeight="1" s="54"/>
    <row r="46" ht="14.25" customHeight="1" s="54"/>
    <row r="47" ht="14.25" customHeight="1" s="54"/>
    <row r="48" ht="14.25" customHeight="1" s="54"/>
    <row r="49" ht="14.25" customHeight="1" s="54"/>
    <row r="50" ht="14.25" customHeight="1" s="54"/>
    <row r="51" ht="14.25" customHeight="1" s="54"/>
    <row r="52" ht="14.25" customHeight="1" s="54"/>
    <row r="53" ht="14.25" customHeight="1" s="54"/>
    <row r="54" ht="14.25" customHeight="1" s="54"/>
    <row r="55" ht="14.25" customHeight="1" s="54"/>
    <row r="56" ht="14.25" customHeight="1" s="54"/>
    <row r="57" ht="14.25" customHeight="1" s="54"/>
    <row r="58" ht="14.25" customHeight="1" s="54"/>
    <row r="59" ht="14.25" customHeight="1" s="54"/>
    <row r="60" ht="14.25" customHeight="1" s="54"/>
    <row r="61" ht="14.25" customHeight="1" s="54"/>
    <row r="62" ht="14.25" customHeight="1" s="54"/>
    <row r="63" ht="14.25" customHeight="1" s="54"/>
    <row r="64" ht="14.25" customHeight="1" s="54"/>
    <row r="65" ht="14.25" customHeight="1" s="54"/>
    <row r="66" ht="14.25" customHeight="1" s="54"/>
    <row r="67" ht="14.25" customHeight="1" s="54"/>
    <row r="68" ht="14.25" customHeight="1" s="54"/>
    <row r="69" ht="14.25" customHeight="1" s="54"/>
    <row r="70" ht="14.25" customHeight="1" s="54"/>
    <row r="71" ht="14.25" customHeight="1" s="54"/>
    <row r="72" ht="14.25" customHeight="1" s="54"/>
    <row r="73" ht="14.25" customHeight="1" s="54"/>
    <row r="74" ht="14.25" customHeight="1" s="54"/>
    <row r="75" ht="14.25" customHeight="1" s="54"/>
    <row r="76" ht="14.25" customHeight="1" s="54"/>
    <row r="77" ht="14.25" customHeight="1" s="54"/>
    <row r="78" ht="14.25" customHeight="1" s="54"/>
    <row r="79" ht="14.25" customHeight="1" s="54"/>
    <row r="80" ht="14.25" customHeight="1" s="54"/>
    <row r="81" ht="14.25" customHeight="1" s="54"/>
    <row r="82" ht="14.25" customHeight="1" s="54"/>
    <row r="83" ht="14.25" customHeight="1" s="54"/>
    <row r="84" ht="14.25" customHeight="1" s="54"/>
    <row r="85" ht="14.25" customHeight="1" s="54"/>
    <row r="86" ht="14.25" customHeight="1" s="54"/>
    <row r="87" ht="14.25" customHeight="1" s="54"/>
    <row r="88" ht="14.25" customHeight="1" s="54"/>
    <row r="89" ht="14.25" customHeight="1" s="54"/>
    <row r="90" ht="14.25" customHeight="1" s="54"/>
    <row r="91" ht="14.25" customHeight="1" s="54"/>
    <row r="92" ht="14.25" customHeight="1" s="54"/>
    <row r="93" ht="14.25" customHeight="1" s="54"/>
    <row r="94" ht="14.25" customHeight="1" s="54"/>
    <row r="95" ht="14.25" customHeight="1" s="54"/>
    <row r="96" ht="14.25" customHeight="1" s="54"/>
    <row r="97" ht="14.25" customHeight="1" s="54"/>
    <row r="98" ht="14.25" customHeight="1" s="54"/>
    <row r="99" ht="14.25" customHeight="1" s="54"/>
    <row r="100" ht="14.25" customHeight="1" s="54"/>
    <row r="101" ht="14.25" customHeight="1" s="54"/>
    <row r="102" ht="14.25" customHeight="1" s="54"/>
    <row r="103" ht="14.25" customHeight="1" s="54"/>
    <row r="104" ht="14.25" customHeight="1" s="54"/>
    <row r="105" ht="14.25" customHeight="1" s="54"/>
    <row r="106" ht="14.25" customHeight="1" s="54"/>
    <row r="107" ht="14.25" customHeight="1" s="54"/>
    <row r="108" ht="14.25" customHeight="1" s="54"/>
    <row r="109" ht="14.25" customHeight="1" s="54"/>
    <row r="110" ht="14.25" customHeight="1" s="54"/>
    <row r="111" ht="14.25" customHeight="1" s="54"/>
    <row r="112" ht="14.25" customHeight="1" s="54"/>
    <row r="113" ht="14.25" customHeight="1" s="54"/>
    <row r="114" ht="14.25" customHeight="1" s="54"/>
    <row r="115" ht="14.25" customHeight="1" s="54"/>
    <row r="116" ht="14.25" customHeight="1" s="54"/>
    <row r="117" ht="14.25" customHeight="1" s="54"/>
    <row r="118" ht="14.25" customHeight="1" s="54"/>
    <row r="119" ht="14.25" customHeight="1" s="54"/>
    <row r="120" ht="14.25" customHeight="1" s="54"/>
    <row r="121" ht="14.25" customHeight="1" s="54"/>
    <row r="122" ht="14.25" customHeight="1" s="54"/>
    <row r="123" ht="14.25" customHeight="1" s="54"/>
    <row r="124" ht="14.25" customHeight="1" s="54"/>
    <row r="125" ht="14.25" customHeight="1" s="54"/>
    <row r="126" ht="14.25" customHeight="1" s="54"/>
    <row r="127" ht="14.25" customHeight="1" s="54"/>
    <row r="128" ht="14.25" customHeight="1" s="54"/>
    <row r="129" ht="14.25" customHeight="1" s="54"/>
    <row r="130" ht="14.25" customHeight="1" s="54"/>
    <row r="131" ht="14.25" customHeight="1" s="54"/>
    <row r="132" ht="14.25" customHeight="1" s="54"/>
    <row r="133" ht="14.25" customHeight="1" s="54"/>
    <row r="134" ht="14.25" customHeight="1" s="54"/>
    <row r="135" ht="14.25" customHeight="1" s="54"/>
    <row r="136" ht="14.25" customHeight="1" s="54"/>
    <row r="137" ht="14.25" customHeight="1" s="54"/>
    <row r="138" ht="14.25" customHeight="1" s="54"/>
    <row r="139" ht="14.25" customHeight="1" s="54"/>
    <row r="140" ht="14.25" customHeight="1" s="54"/>
    <row r="141" ht="14.25" customHeight="1" s="54"/>
    <row r="142" ht="14.25" customHeight="1" s="54"/>
    <row r="143" ht="14.25" customHeight="1" s="54"/>
    <row r="144" ht="14.25" customHeight="1" s="54"/>
    <row r="145" ht="14.25" customHeight="1" s="54"/>
    <row r="146" ht="14.25" customHeight="1" s="54"/>
    <row r="147" ht="14.25" customHeight="1" s="54"/>
    <row r="148" ht="14.25" customHeight="1" s="54"/>
    <row r="149" ht="14.25" customHeight="1" s="54"/>
    <row r="150" ht="14.25" customHeight="1" s="54"/>
    <row r="151" ht="14.25" customHeight="1" s="54"/>
    <row r="152" ht="14.25" customHeight="1" s="54"/>
    <row r="153" ht="14.25" customHeight="1" s="54"/>
    <row r="154" ht="14.25" customHeight="1" s="54"/>
    <row r="155" ht="14.25" customHeight="1" s="54"/>
    <row r="156" ht="14.25" customHeight="1" s="54"/>
    <row r="157" ht="14.25" customHeight="1" s="54"/>
    <row r="158" ht="14.25" customHeight="1" s="54"/>
    <row r="159" ht="14.25" customHeight="1" s="54"/>
    <row r="160" ht="14.25" customHeight="1" s="54"/>
    <row r="161" ht="14.25" customHeight="1" s="54"/>
    <row r="162" ht="14.25" customHeight="1" s="54"/>
    <row r="163" ht="14.25" customHeight="1" s="54"/>
    <row r="164" ht="14.25" customHeight="1" s="54"/>
    <row r="165" ht="14.25" customHeight="1" s="54"/>
    <row r="166" ht="14.25" customHeight="1" s="54"/>
    <row r="167" ht="14.25" customHeight="1" s="54"/>
    <row r="168" ht="14.25" customHeight="1" s="54"/>
    <row r="169" ht="14.25" customHeight="1" s="54"/>
    <row r="170" ht="14.25" customHeight="1" s="54"/>
    <row r="171" ht="14.25" customHeight="1" s="54"/>
    <row r="172" ht="14.25" customHeight="1" s="54"/>
    <row r="173" ht="14.25" customHeight="1" s="54"/>
    <row r="174" ht="14.25" customHeight="1" s="54"/>
    <row r="175" ht="14.25" customHeight="1" s="54"/>
    <row r="176" ht="14.25" customHeight="1" s="54"/>
    <row r="177" ht="14.25" customHeight="1" s="54"/>
    <row r="178" ht="14.25" customHeight="1" s="54"/>
    <row r="179" ht="14.25" customHeight="1" s="54"/>
    <row r="180" ht="14.25" customHeight="1" s="54"/>
    <row r="181" ht="14.25" customHeight="1" s="54"/>
    <row r="182" ht="14.25" customHeight="1" s="54"/>
    <row r="183" ht="14.25" customHeight="1" s="54"/>
    <row r="184" ht="14.25" customHeight="1" s="54"/>
    <row r="185" ht="14.25" customHeight="1" s="54"/>
    <row r="186" ht="14.25" customHeight="1" s="54"/>
    <row r="187" ht="14.25" customHeight="1" s="54"/>
    <row r="188" ht="14.25" customHeight="1" s="54"/>
    <row r="189" ht="14.25" customHeight="1" s="54"/>
    <row r="190" ht="14.25" customHeight="1" s="54"/>
    <row r="191" ht="14.25" customHeight="1" s="54"/>
    <row r="192" ht="14.25" customHeight="1" s="54"/>
    <row r="193" ht="14.25" customHeight="1" s="54"/>
    <row r="194" ht="14.25" customHeight="1" s="54"/>
    <row r="195" ht="14.25" customHeight="1" s="54"/>
    <row r="196" ht="14.25" customHeight="1" s="54"/>
    <row r="197" ht="14.25" customHeight="1" s="54"/>
    <row r="198" ht="14.25" customHeight="1" s="54"/>
    <row r="199" ht="14.25" customHeight="1" s="54"/>
    <row r="200" ht="14.25" customHeight="1" s="54"/>
    <row r="201" ht="14.25" customHeight="1" s="54"/>
    <row r="202" ht="14.25" customHeight="1" s="54"/>
    <row r="203" ht="14.25" customHeight="1" s="54"/>
    <row r="204" ht="14.25" customHeight="1" s="54"/>
    <row r="205" ht="14.25" customHeight="1" s="54"/>
    <row r="206" ht="14.25" customHeight="1" s="54"/>
    <row r="207" ht="14.25" customHeight="1" s="54"/>
    <row r="208" ht="14.25" customHeight="1" s="54"/>
    <row r="209" ht="14.25" customHeight="1" s="54"/>
    <row r="210" ht="14.25" customHeight="1" s="54"/>
    <row r="211" ht="14.25" customHeight="1" s="54"/>
    <row r="212" ht="14.25" customHeight="1" s="54"/>
    <row r="213" ht="14.25" customHeight="1" s="54"/>
    <row r="214" ht="14.25" customHeight="1" s="54"/>
    <row r="215" ht="14.25" customHeight="1" s="54"/>
    <row r="216" ht="14.25" customHeight="1" s="54"/>
    <row r="217" ht="14.25" customHeight="1" s="54"/>
    <row r="218" ht="14.25" customHeight="1" s="54"/>
    <row r="219" ht="14.25" customHeight="1" s="54"/>
    <row r="220" ht="14.25" customHeight="1" s="54"/>
    <row r="221" ht="14.25" customHeight="1" s="54"/>
    <row r="222" ht="14.25" customHeight="1" s="54"/>
    <row r="223" ht="14.25" customHeight="1" s="54"/>
    <row r="224" ht="14.25" customHeight="1" s="54"/>
    <row r="225" ht="14.25" customHeight="1" s="54"/>
    <row r="226" ht="14.25" customHeight="1" s="54"/>
    <row r="227" ht="14.25" customHeight="1" s="54"/>
    <row r="228" ht="14.25" customHeight="1" s="54"/>
    <row r="229" ht="14.25" customHeight="1" s="54"/>
    <row r="230" ht="14.25" customHeight="1" s="54"/>
    <row r="231" ht="14.25" customHeight="1" s="54"/>
    <row r="232" ht="14.25" customHeight="1" s="54"/>
    <row r="233" ht="14.25" customHeight="1" s="54"/>
    <row r="234" ht="14.25" customHeight="1" s="54"/>
    <row r="235" ht="14.25" customHeight="1" s="54"/>
    <row r="236" ht="14.25" customHeight="1" s="54"/>
    <row r="237" ht="14.25" customHeight="1" s="54"/>
    <row r="238" ht="14.25" customHeight="1" s="54"/>
    <row r="239" ht="14.25" customHeight="1" s="54"/>
    <row r="240" ht="14.25" customHeight="1" s="54"/>
    <row r="241" ht="14.25" customHeight="1" s="54"/>
    <row r="242" ht="14.25" customHeight="1" s="54"/>
    <row r="243" ht="14.25" customHeight="1" s="54"/>
    <row r="244" ht="14.25" customHeight="1" s="54"/>
    <row r="245" ht="14.25" customHeight="1" s="54"/>
    <row r="246" ht="14.25" customHeight="1" s="54"/>
    <row r="247" ht="14.25" customHeight="1" s="54"/>
    <row r="248" ht="14.25" customHeight="1" s="54"/>
    <row r="249" ht="14.25" customHeight="1" s="54"/>
    <row r="250" ht="14.25" customHeight="1" s="54"/>
    <row r="251" ht="14.25" customHeight="1" s="54"/>
    <row r="252" ht="14.25" customHeight="1" s="54"/>
    <row r="253" ht="14.25" customHeight="1" s="54"/>
    <row r="254" ht="14.25" customHeight="1" s="54"/>
    <row r="255" ht="14.25" customHeight="1" s="54"/>
    <row r="256" ht="14.25" customHeight="1" s="54"/>
    <row r="257" ht="14.25" customHeight="1" s="54"/>
    <row r="258" ht="14.25" customHeight="1" s="54"/>
    <row r="259" ht="14.25" customHeight="1" s="54"/>
    <row r="260" ht="14.25" customHeight="1" s="54"/>
    <row r="261" ht="14.25" customHeight="1" s="54"/>
    <row r="262" ht="14.25" customHeight="1" s="54"/>
    <row r="263" ht="14.25" customHeight="1" s="54"/>
    <row r="264" ht="14.25" customHeight="1" s="54"/>
    <row r="265" ht="14.25" customHeight="1" s="54"/>
    <row r="266" ht="14.25" customHeight="1" s="54"/>
    <row r="267" ht="14.25" customHeight="1" s="54"/>
    <row r="268" ht="14.25" customHeight="1" s="54"/>
    <row r="269" ht="14.25" customHeight="1" s="54"/>
    <row r="270" ht="14.25" customHeight="1" s="54"/>
    <row r="271" ht="14.25" customHeight="1" s="54"/>
    <row r="272" ht="14.25" customHeight="1" s="54"/>
    <row r="273" ht="14.25" customHeight="1" s="54"/>
    <row r="274" ht="14.25" customHeight="1" s="54"/>
    <row r="275" ht="14.25" customHeight="1" s="54"/>
    <row r="276" ht="14.25" customHeight="1" s="54"/>
    <row r="277" ht="14.25" customHeight="1" s="54"/>
    <row r="278" ht="14.25" customHeight="1" s="54"/>
    <row r="279" ht="14.25" customHeight="1" s="54"/>
    <row r="280" ht="14.25" customHeight="1" s="54"/>
    <row r="281" ht="14.25" customHeight="1" s="54"/>
    <row r="282" ht="14.25" customHeight="1" s="54"/>
    <row r="283" ht="14.25" customHeight="1" s="54"/>
    <row r="284" ht="14.25" customHeight="1" s="54"/>
    <row r="285" ht="14.25" customHeight="1" s="54"/>
    <row r="286" ht="14.25" customHeight="1" s="54"/>
    <row r="287" ht="14.25" customHeight="1" s="54"/>
    <row r="288" ht="14.25" customHeight="1" s="54"/>
    <row r="289" ht="14.25" customHeight="1" s="54"/>
    <row r="290" ht="14.25" customHeight="1" s="54"/>
    <row r="291" ht="14.25" customHeight="1" s="54"/>
    <row r="292" ht="14.25" customHeight="1" s="54"/>
    <row r="293" ht="14.25" customHeight="1" s="54"/>
    <row r="294" ht="14.25" customHeight="1" s="54"/>
    <row r="295" ht="14.25" customHeight="1" s="54"/>
    <row r="296" ht="14.25" customHeight="1" s="54"/>
    <row r="297" ht="14.25" customHeight="1" s="54"/>
    <row r="298" ht="14.25" customHeight="1" s="54"/>
    <row r="299" ht="14.25" customHeight="1" s="54"/>
    <row r="300" ht="14.25" customHeight="1" s="54"/>
    <row r="301" ht="14.25" customHeight="1" s="54"/>
    <row r="302" ht="14.25" customHeight="1" s="54"/>
    <row r="303" ht="14.25" customHeight="1" s="54"/>
    <row r="304" ht="14.25" customHeight="1" s="54"/>
    <row r="305" ht="14.25" customHeight="1" s="54"/>
    <row r="306" ht="14.25" customHeight="1" s="54"/>
    <row r="307" ht="14.25" customHeight="1" s="54"/>
    <row r="308" ht="14.25" customHeight="1" s="54"/>
    <row r="309" ht="14.25" customHeight="1" s="54"/>
    <row r="310" ht="14.25" customHeight="1" s="54"/>
    <row r="311" ht="14.25" customHeight="1" s="54"/>
    <row r="312" ht="14.25" customHeight="1" s="54"/>
    <row r="313" ht="14.25" customHeight="1" s="54"/>
    <row r="314" ht="14.25" customHeight="1" s="54"/>
    <row r="315" ht="14.25" customHeight="1" s="54"/>
    <row r="316" ht="14.25" customHeight="1" s="54"/>
    <row r="317" ht="14.25" customHeight="1" s="54"/>
    <row r="318" ht="14.25" customHeight="1" s="54"/>
    <row r="319" ht="14.25" customHeight="1" s="54"/>
    <row r="320" ht="14.25" customHeight="1" s="54"/>
    <row r="321" ht="14.25" customHeight="1" s="54"/>
    <row r="322" ht="14.25" customHeight="1" s="54"/>
    <row r="323" ht="14.25" customHeight="1" s="54"/>
    <row r="324" ht="14.25" customHeight="1" s="54"/>
    <row r="325" ht="14.25" customHeight="1" s="54"/>
    <row r="326" ht="14.25" customHeight="1" s="54"/>
    <row r="327" ht="14.25" customHeight="1" s="54"/>
    <row r="328" ht="14.25" customHeight="1" s="54"/>
    <row r="329" ht="14.25" customHeight="1" s="54"/>
    <row r="330" ht="14.25" customHeight="1" s="54"/>
    <row r="331" ht="14.25" customHeight="1" s="54"/>
    <row r="332" ht="14.25" customHeight="1" s="54"/>
    <row r="333" ht="14.25" customHeight="1" s="54"/>
    <row r="334" ht="14.25" customHeight="1" s="54"/>
    <row r="335" ht="14.25" customHeight="1" s="54"/>
    <row r="336" ht="14.25" customHeight="1" s="54"/>
    <row r="337" ht="14.25" customHeight="1" s="54"/>
    <row r="338" ht="14.25" customHeight="1" s="54"/>
    <row r="339" ht="14.25" customHeight="1" s="54"/>
    <row r="340" ht="14.25" customHeight="1" s="54"/>
    <row r="341" ht="14.25" customHeight="1" s="54"/>
    <row r="342" ht="14.25" customHeight="1" s="54"/>
    <row r="343" ht="14.25" customHeight="1" s="54"/>
    <row r="344" ht="14.25" customHeight="1" s="54"/>
    <row r="345" ht="14.25" customHeight="1" s="54"/>
    <row r="346" ht="14.25" customHeight="1" s="54"/>
    <row r="347" ht="14.25" customHeight="1" s="54"/>
    <row r="348" ht="14.25" customHeight="1" s="54"/>
    <row r="349" ht="14.25" customHeight="1" s="54"/>
    <row r="350" ht="14.25" customHeight="1" s="54"/>
    <row r="351" ht="14.25" customHeight="1" s="54"/>
    <row r="352" ht="14.25" customHeight="1" s="54"/>
    <row r="353" ht="14.25" customHeight="1" s="54"/>
    <row r="354" ht="14.25" customHeight="1" s="54"/>
    <row r="355" ht="14.25" customHeight="1" s="54"/>
    <row r="356" ht="14.25" customHeight="1" s="54"/>
    <row r="357" ht="14.25" customHeight="1" s="54"/>
    <row r="358" ht="14.25" customHeight="1" s="54"/>
    <row r="359" ht="14.25" customHeight="1" s="54"/>
    <row r="360" ht="14.25" customHeight="1" s="54"/>
    <row r="361" ht="14.25" customHeight="1" s="54"/>
    <row r="362" ht="14.25" customHeight="1" s="54"/>
    <row r="363" ht="14.25" customHeight="1" s="54"/>
    <row r="364" ht="14.25" customHeight="1" s="54"/>
    <row r="365" ht="14.25" customHeight="1" s="54"/>
    <row r="366" ht="14.25" customHeight="1" s="54"/>
    <row r="367" ht="14.25" customHeight="1" s="54"/>
    <row r="368" ht="14.25" customHeight="1" s="54"/>
    <row r="369" ht="14.25" customHeight="1" s="54"/>
    <row r="370" ht="14.25" customHeight="1" s="54"/>
    <row r="371" ht="14.25" customHeight="1" s="54"/>
    <row r="372" ht="14.25" customHeight="1" s="54"/>
    <row r="373" ht="14.25" customHeight="1" s="54"/>
    <row r="374" ht="14.25" customHeight="1" s="54"/>
    <row r="375" ht="14.25" customHeight="1" s="54"/>
    <row r="376" ht="14.25" customHeight="1" s="54"/>
    <row r="377" ht="14.25" customHeight="1" s="54"/>
    <row r="378" ht="14.25" customHeight="1" s="54"/>
    <row r="379" ht="14.25" customHeight="1" s="54"/>
    <row r="380" ht="14.25" customHeight="1" s="54"/>
    <row r="381" ht="14.25" customHeight="1" s="54"/>
    <row r="382" ht="14.25" customHeight="1" s="54"/>
    <row r="383" ht="14.25" customHeight="1" s="54"/>
    <row r="384" ht="14.25" customHeight="1" s="54"/>
    <row r="385" ht="14.25" customHeight="1" s="54"/>
    <row r="386" ht="14.25" customHeight="1" s="54"/>
    <row r="387" ht="14.25" customHeight="1" s="54"/>
    <row r="388" ht="14.25" customHeight="1" s="54"/>
    <row r="389" ht="14.25" customHeight="1" s="54"/>
    <row r="390" ht="14.25" customHeight="1" s="54"/>
    <row r="391" ht="14.25" customHeight="1" s="54"/>
    <row r="392" ht="14.25" customHeight="1" s="54"/>
    <row r="393" ht="14.25" customHeight="1" s="54"/>
    <row r="394" ht="14.25" customHeight="1" s="54"/>
    <row r="395" ht="14.25" customHeight="1" s="54"/>
    <row r="396" ht="14.25" customHeight="1" s="54"/>
    <row r="397" ht="14.25" customHeight="1" s="54"/>
    <row r="398" ht="14.25" customHeight="1" s="54"/>
    <row r="399" ht="14.25" customHeight="1" s="54"/>
    <row r="400" ht="14.25" customHeight="1" s="54"/>
    <row r="401" ht="14.25" customHeight="1" s="54"/>
    <row r="402" ht="14.25" customHeight="1" s="54"/>
    <row r="403" ht="14.25" customHeight="1" s="54"/>
    <row r="404" ht="14.25" customHeight="1" s="54"/>
    <row r="405" ht="14.25" customHeight="1" s="54"/>
    <row r="406" ht="14.25" customHeight="1" s="54"/>
    <row r="407" ht="14.25" customHeight="1" s="54"/>
    <row r="408" ht="14.25" customHeight="1" s="54"/>
    <row r="409" ht="14.25" customHeight="1" s="54"/>
    <row r="410" ht="14.25" customHeight="1" s="54"/>
    <row r="411" ht="14.25" customHeight="1" s="54"/>
    <row r="412" ht="14.25" customHeight="1" s="54"/>
    <row r="413" ht="14.25" customHeight="1" s="54"/>
    <row r="414" ht="14.25" customHeight="1" s="54"/>
    <row r="415" ht="14.25" customHeight="1" s="54"/>
    <row r="416" ht="14.25" customHeight="1" s="54"/>
    <row r="417" ht="14.25" customHeight="1" s="54"/>
    <row r="418" ht="14.25" customHeight="1" s="54"/>
    <row r="419" ht="14.25" customHeight="1" s="54"/>
    <row r="420" ht="14.25" customHeight="1" s="54"/>
    <row r="421" ht="14.25" customHeight="1" s="54"/>
    <row r="422" ht="14.25" customHeight="1" s="54"/>
    <row r="423" ht="14.25" customHeight="1" s="54"/>
    <row r="424" ht="14.25" customHeight="1" s="54"/>
    <row r="425" ht="14.25" customHeight="1" s="54"/>
    <row r="426" ht="14.25" customHeight="1" s="54"/>
    <row r="427" ht="14.25" customHeight="1" s="54"/>
    <row r="428" ht="14.25" customHeight="1" s="54"/>
    <row r="429" ht="14.25" customHeight="1" s="54"/>
    <row r="430" ht="14.25" customHeight="1" s="54"/>
    <row r="431" ht="14.25" customHeight="1" s="54"/>
    <row r="432" ht="14.25" customHeight="1" s="54"/>
    <row r="433" ht="14.25" customHeight="1" s="54"/>
    <row r="434" ht="14.25" customHeight="1" s="54"/>
    <row r="435" ht="14.25" customHeight="1" s="54"/>
    <row r="436" ht="14.25" customHeight="1" s="54"/>
    <row r="437" ht="14.25" customHeight="1" s="54"/>
    <row r="438" ht="14.25" customHeight="1" s="54"/>
    <row r="439" ht="14.25" customHeight="1" s="54"/>
    <row r="440" ht="14.25" customHeight="1" s="54"/>
    <row r="441" ht="14.25" customHeight="1" s="54"/>
    <row r="442" ht="14.25" customHeight="1" s="54"/>
    <row r="443" ht="14.25" customHeight="1" s="54"/>
    <row r="444" ht="14.25" customHeight="1" s="54"/>
    <row r="445" ht="14.25" customHeight="1" s="54"/>
    <row r="446" ht="14.25" customHeight="1" s="54"/>
    <row r="447" ht="14.25" customHeight="1" s="54"/>
    <row r="448" ht="14.25" customHeight="1" s="54"/>
    <row r="449" ht="14.25" customHeight="1" s="54"/>
    <row r="450" ht="14.25" customHeight="1" s="54"/>
    <row r="451" ht="14.25" customHeight="1" s="54"/>
    <row r="452" ht="14.25" customHeight="1" s="54"/>
    <row r="453" ht="14.25" customHeight="1" s="54"/>
    <row r="454" ht="14.25" customHeight="1" s="54"/>
    <row r="455" ht="14.25" customHeight="1" s="54"/>
    <row r="456" ht="14.25" customHeight="1" s="54"/>
    <row r="457" ht="14.25" customHeight="1" s="54"/>
    <row r="458" ht="14.25" customHeight="1" s="54"/>
    <row r="459" ht="14.25" customHeight="1" s="54"/>
    <row r="460" ht="14.25" customHeight="1" s="54"/>
    <row r="461" ht="14.25" customHeight="1" s="54"/>
    <row r="462" ht="14.25" customHeight="1" s="54"/>
    <row r="463" ht="14.25" customHeight="1" s="54"/>
    <row r="464" ht="14.25" customHeight="1" s="54"/>
    <row r="465" ht="14.25" customHeight="1" s="54"/>
    <row r="466" ht="14.25" customHeight="1" s="54"/>
    <row r="467" ht="14.25" customHeight="1" s="54"/>
    <row r="468" ht="14.25" customHeight="1" s="54"/>
    <row r="469" ht="14.25" customHeight="1" s="54"/>
    <row r="470" ht="14.25" customHeight="1" s="54"/>
    <row r="471" ht="14.25" customHeight="1" s="54"/>
    <row r="472" ht="14.25" customHeight="1" s="54"/>
    <row r="473" ht="14.25" customHeight="1" s="54"/>
    <row r="474" ht="14.25" customHeight="1" s="54"/>
    <row r="475" ht="14.25" customHeight="1" s="54"/>
    <row r="476" ht="14.25" customHeight="1" s="54"/>
    <row r="477" ht="14.25" customHeight="1" s="54"/>
    <row r="478" ht="14.25" customHeight="1" s="54"/>
    <row r="479" ht="14.25" customHeight="1" s="54"/>
    <row r="480" ht="14.25" customHeight="1" s="54"/>
    <row r="481" ht="14.25" customHeight="1" s="54"/>
    <row r="482" ht="14.25" customHeight="1" s="54"/>
    <row r="483" ht="14.25" customHeight="1" s="54"/>
    <row r="484" ht="14.25" customHeight="1" s="54"/>
    <row r="485" ht="14.25" customHeight="1" s="54"/>
    <row r="486" ht="14.25" customHeight="1" s="54"/>
    <row r="487" ht="14.25" customHeight="1" s="54"/>
    <row r="488" ht="14.25" customHeight="1" s="54"/>
    <row r="489" ht="14.25" customHeight="1" s="54"/>
    <row r="490" ht="14.25" customHeight="1" s="54"/>
    <row r="491" ht="14.25" customHeight="1" s="54"/>
    <row r="492" ht="14.25" customHeight="1" s="54"/>
    <row r="493" ht="14.25" customHeight="1" s="54"/>
    <row r="494" ht="14.25" customHeight="1" s="54"/>
    <row r="495" ht="14.25" customHeight="1" s="54"/>
    <row r="496" ht="14.25" customHeight="1" s="54"/>
    <row r="497" ht="14.25" customHeight="1" s="54"/>
    <row r="498" ht="14.25" customHeight="1" s="54"/>
    <row r="499" ht="14.25" customHeight="1" s="54"/>
    <row r="500" ht="14.25" customHeight="1" s="54"/>
    <row r="501" ht="14.25" customHeight="1" s="54"/>
    <row r="502" ht="14.25" customHeight="1" s="54"/>
    <row r="503" ht="14.25" customHeight="1" s="54"/>
    <row r="504" ht="14.25" customHeight="1" s="54"/>
    <row r="505" ht="14.25" customHeight="1" s="54"/>
    <row r="506" ht="14.25" customHeight="1" s="54"/>
    <row r="507" ht="14.25" customHeight="1" s="54"/>
    <row r="508" ht="14.25" customHeight="1" s="54"/>
    <row r="509" ht="14.25" customHeight="1" s="54"/>
    <row r="510" ht="14.25" customHeight="1" s="54"/>
    <row r="511" ht="14.25" customHeight="1" s="54"/>
    <row r="512" ht="14.25" customHeight="1" s="54"/>
    <row r="513" ht="14.25" customHeight="1" s="54"/>
    <row r="514" ht="14.25" customHeight="1" s="54"/>
    <row r="515" ht="14.25" customHeight="1" s="54"/>
    <row r="516" ht="14.25" customHeight="1" s="54"/>
    <row r="517" ht="14.25" customHeight="1" s="54"/>
    <row r="518" ht="14.25" customHeight="1" s="54"/>
    <row r="519" ht="14.25" customHeight="1" s="54"/>
    <row r="520" ht="14.25" customHeight="1" s="54"/>
    <row r="521" ht="14.25" customHeight="1" s="54"/>
    <row r="522" ht="14.25" customHeight="1" s="54"/>
    <row r="523" ht="14.25" customHeight="1" s="54"/>
    <row r="524" ht="14.25" customHeight="1" s="54"/>
    <row r="525" ht="14.25" customHeight="1" s="54"/>
    <row r="526" ht="14.25" customHeight="1" s="54"/>
    <row r="527" ht="14.25" customHeight="1" s="54"/>
    <row r="528" ht="14.25" customHeight="1" s="54"/>
    <row r="529" ht="14.25" customHeight="1" s="54"/>
    <row r="530" ht="14.25" customHeight="1" s="54"/>
    <row r="531" ht="14.25" customHeight="1" s="54"/>
    <row r="532" ht="14.25" customHeight="1" s="54"/>
    <row r="533" ht="14.25" customHeight="1" s="54"/>
    <row r="534" ht="14.25" customHeight="1" s="54"/>
    <row r="535" ht="14.25" customHeight="1" s="54"/>
    <row r="536" ht="14.25" customHeight="1" s="54"/>
    <row r="537" ht="14.25" customHeight="1" s="54"/>
    <row r="538" ht="14.25" customHeight="1" s="54"/>
    <row r="539" ht="14.25" customHeight="1" s="54"/>
    <row r="540" ht="14.25" customHeight="1" s="54"/>
    <row r="541" ht="14.25" customHeight="1" s="54"/>
    <row r="542" ht="14.25" customHeight="1" s="54"/>
    <row r="543" ht="14.25" customHeight="1" s="54"/>
    <row r="544" ht="14.25" customHeight="1" s="54"/>
    <row r="545" ht="14.25" customHeight="1" s="54"/>
    <row r="546" ht="14.25" customHeight="1" s="54"/>
    <row r="547" ht="14.25" customHeight="1" s="54"/>
    <row r="548" ht="14.25" customHeight="1" s="54"/>
    <row r="549" ht="14.25" customHeight="1" s="54"/>
    <row r="550" ht="14.25" customHeight="1" s="54"/>
    <row r="551" ht="14.25" customHeight="1" s="54"/>
    <row r="552" ht="14.25" customHeight="1" s="54"/>
    <row r="553" ht="14.25" customHeight="1" s="54"/>
    <row r="554" ht="14.25" customHeight="1" s="54"/>
    <row r="555" ht="14.25" customHeight="1" s="54"/>
    <row r="556" ht="14.25" customHeight="1" s="54"/>
    <row r="557" ht="14.25" customHeight="1" s="54"/>
    <row r="558" ht="14.25" customHeight="1" s="54"/>
    <row r="559" ht="14.25" customHeight="1" s="54"/>
    <row r="560" ht="14.25" customHeight="1" s="54"/>
    <row r="561" ht="14.25" customHeight="1" s="54"/>
    <row r="562" ht="14.25" customHeight="1" s="54"/>
    <row r="563" ht="14.25" customHeight="1" s="54"/>
    <row r="564" ht="14.25" customHeight="1" s="54"/>
    <row r="565" ht="14.25" customHeight="1" s="54"/>
    <row r="566" ht="14.25" customHeight="1" s="54"/>
    <row r="567" ht="14.25" customHeight="1" s="54"/>
    <row r="568" ht="14.25" customHeight="1" s="54"/>
    <row r="569" ht="14.25" customHeight="1" s="54"/>
    <row r="570" ht="14.25" customHeight="1" s="54"/>
    <row r="571" ht="14.25" customHeight="1" s="54"/>
    <row r="572" ht="14.25" customHeight="1" s="54"/>
    <row r="573" ht="14.25" customHeight="1" s="54"/>
    <row r="574" ht="14.25" customHeight="1" s="54"/>
    <row r="575" ht="14.25" customHeight="1" s="54"/>
    <row r="576" ht="14.25" customHeight="1" s="54"/>
    <row r="577" ht="14.25" customHeight="1" s="54"/>
    <row r="578" ht="14.25" customHeight="1" s="54"/>
    <row r="579" ht="14.25" customHeight="1" s="54"/>
    <row r="580" ht="14.25" customHeight="1" s="54"/>
    <row r="581" ht="14.25" customHeight="1" s="54"/>
    <row r="582" ht="14.25" customHeight="1" s="54"/>
    <row r="583" ht="14.25" customHeight="1" s="54"/>
    <row r="584" ht="14.25" customHeight="1" s="54"/>
    <row r="585" ht="14.25" customHeight="1" s="54"/>
    <row r="586" ht="14.25" customHeight="1" s="54"/>
    <row r="587" ht="14.25" customHeight="1" s="54"/>
    <row r="588" ht="14.25" customHeight="1" s="54"/>
    <row r="589" ht="14.25" customHeight="1" s="54"/>
    <row r="590" ht="14.25" customHeight="1" s="54"/>
    <row r="591" ht="14.25" customHeight="1" s="54"/>
    <row r="592" ht="14.25" customHeight="1" s="54"/>
    <row r="593" ht="14.25" customHeight="1" s="54"/>
    <row r="594" ht="14.25" customHeight="1" s="54"/>
    <row r="595" ht="14.25" customHeight="1" s="54"/>
    <row r="596" ht="14.25" customHeight="1" s="54"/>
    <row r="597" ht="14.25" customHeight="1" s="54"/>
    <row r="598" ht="14.25" customHeight="1" s="54"/>
    <row r="599" ht="14.25" customHeight="1" s="54"/>
    <row r="600" ht="14.25" customHeight="1" s="54"/>
    <row r="601" ht="14.25" customHeight="1" s="54"/>
    <row r="602" ht="14.25" customHeight="1" s="54"/>
    <row r="603" ht="14.25" customHeight="1" s="54"/>
    <row r="604" ht="14.25" customHeight="1" s="54"/>
    <row r="605" ht="14.25" customHeight="1" s="54"/>
    <row r="606" ht="14.25" customHeight="1" s="54"/>
    <row r="607" ht="14.25" customHeight="1" s="54"/>
    <row r="608" ht="14.25" customHeight="1" s="54"/>
    <row r="609" ht="14.25" customHeight="1" s="54"/>
    <row r="610" ht="14.25" customHeight="1" s="54"/>
    <row r="611" ht="14.25" customHeight="1" s="54"/>
    <row r="612" ht="14.25" customHeight="1" s="54"/>
    <row r="613" ht="14.25" customHeight="1" s="54"/>
    <row r="614" ht="14.25" customHeight="1" s="54"/>
    <row r="615" ht="14.25" customHeight="1" s="54"/>
    <row r="616" ht="14.25" customHeight="1" s="54"/>
    <row r="617" ht="14.25" customHeight="1" s="54"/>
    <row r="618" ht="14.25" customHeight="1" s="54"/>
    <row r="619" ht="14.25" customHeight="1" s="54"/>
    <row r="620" ht="14.25" customHeight="1" s="54"/>
    <row r="621" ht="14.25" customHeight="1" s="54"/>
    <row r="622" ht="14.25" customHeight="1" s="54"/>
    <row r="623" ht="14.25" customHeight="1" s="54"/>
    <row r="624" ht="14.25" customHeight="1" s="54"/>
    <row r="625" ht="14.25" customHeight="1" s="54"/>
    <row r="626" ht="14.25" customHeight="1" s="54"/>
    <row r="627" ht="14.25" customHeight="1" s="54"/>
    <row r="628" ht="14.25" customHeight="1" s="54"/>
    <row r="629" ht="14.25" customHeight="1" s="54"/>
    <row r="630" ht="14.25" customHeight="1" s="54"/>
    <row r="631" ht="14.25" customHeight="1" s="54"/>
    <row r="632" ht="14.25" customHeight="1" s="54"/>
    <row r="633" ht="14.25" customHeight="1" s="54"/>
    <row r="634" ht="14.25" customHeight="1" s="54"/>
    <row r="635" ht="14.25" customHeight="1" s="54"/>
    <row r="636" ht="14.25" customHeight="1" s="54"/>
    <row r="637" ht="14.25" customHeight="1" s="54"/>
    <row r="638" ht="14.25" customHeight="1" s="54"/>
    <row r="639" ht="14.25" customHeight="1" s="54"/>
    <row r="640" ht="14.25" customHeight="1" s="54"/>
    <row r="641" ht="14.25" customHeight="1" s="54"/>
    <row r="642" ht="14.25" customHeight="1" s="54"/>
    <row r="643" ht="14.25" customHeight="1" s="54"/>
    <row r="644" ht="14.25" customHeight="1" s="54"/>
    <row r="645" ht="14.25" customHeight="1" s="54"/>
    <row r="646" ht="14.25" customHeight="1" s="54"/>
    <row r="647" ht="14.25" customHeight="1" s="54"/>
    <row r="648" ht="14.25" customHeight="1" s="54"/>
    <row r="649" ht="14.25" customHeight="1" s="54"/>
    <row r="650" ht="14.25" customHeight="1" s="54"/>
    <row r="651" ht="14.25" customHeight="1" s="54"/>
    <row r="652" ht="14.25" customHeight="1" s="54"/>
    <row r="653" ht="14.25" customHeight="1" s="54"/>
    <row r="654" ht="14.25" customHeight="1" s="54"/>
    <row r="655" ht="14.25" customHeight="1" s="54"/>
    <row r="656" ht="14.25" customHeight="1" s="54"/>
    <row r="657" ht="14.25" customHeight="1" s="54"/>
    <row r="658" ht="14.25" customHeight="1" s="54"/>
    <row r="659" ht="14.25" customHeight="1" s="54"/>
    <row r="660" ht="14.25" customHeight="1" s="54"/>
    <row r="661" ht="14.25" customHeight="1" s="54"/>
    <row r="662" ht="14.25" customHeight="1" s="54"/>
    <row r="663" ht="14.25" customHeight="1" s="54"/>
    <row r="664" ht="14.25" customHeight="1" s="54"/>
    <row r="665" ht="14.25" customHeight="1" s="54"/>
    <row r="666" ht="14.25" customHeight="1" s="54"/>
    <row r="667" ht="14.25" customHeight="1" s="54"/>
    <row r="668" ht="14.25" customHeight="1" s="54"/>
    <row r="669" ht="14.25" customHeight="1" s="54"/>
    <row r="670" ht="14.25" customHeight="1" s="54"/>
    <row r="671" ht="14.25" customHeight="1" s="54"/>
    <row r="672" ht="14.25" customHeight="1" s="54"/>
    <row r="673" ht="14.25" customHeight="1" s="54"/>
    <row r="674" ht="14.25" customHeight="1" s="54"/>
    <row r="675" ht="14.25" customHeight="1" s="54"/>
    <row r="676" ht="14.25" customHeight="1" s="54"/>
    <row r="677" ht="14.25" customHeight="1" s="54"/>
    <row r="678" ht="14.25" customHeight="1" s="54"/>
    <row r="679" ht="14.25" customHeight="1" s="54"/>
    <row r="680" ht="14.25" customHeight="1" s="54"/>
    <row r="681" ht="14.25" customHeight="1" s="54"/>
    <row r="682" ht="14.25" customHeight="1" s="54"/>
    <row r="683" ht="14.25" customHeight="1" s="54"/>
    <row r="684" ht="14.25" customHeight="1" s="54"/>
    <row r="685" ht="14.25" customHeight="1" s="54"/>
    <row r="686" ht="14.25" customHeight="1" s="54"/>
    <row r="687" ht="14.25" customHeight="1" s="54"/>
    <row r="688" ht="14.25" customHeight="1" s="54"/>
    <row r="689" ht="14.25" customHeight="1" s="54"/>
    <row r="690" ht="14.25" customHeight="1" s="54"/>
    <row r="691" ht="14.25" customHeight="1" s="54"/>
    <row r="692" ht="14.25" customHeight="1" s="54"/>
    <row r="693" ht="14.25" customHeight="1" s="54"/>
    <row r="694" ht="14.25" customHeight="1" s="54"/>
    <row r="695" ht="14.25" customHeight="1" s="54"/>
    <row r="696" ht="14.25" customHeight="1" s="54"/>
    <row r="697" ht="14.25" customHeight="1" s="54"/>
    <row r="698" ht="14.25" customHeight="1" s="54"/>
    <row r="699" ht="14.25" customHeight="1" s="54"/>
    <row r="700" ht="14.25" customHeight="1" s="54"/>
    <row r="701" ht="14.25" customHeight="1" s="54"/>
    <row r="702" ht="14.25" customHeight="1" s="54"/>
    <row r="703" ht="14.25" customHeight="1" s="54"/>
    <row r="704" ht="14.25" customHeight="1" s="54"/>
    <row r="705" ht="14.25" customHeight="1" s="54"/>
    <row r="706" ht="14.25" customHeight="1" s="54"/>
    <row r="707" ht="14.25" customHeight="1" s="54"/>
    <row r="708" ht="14.25" customHeight="1" s="54"/>
    <row r="709" ht="14.25" customHeight="1" s="54"/>
    <row r="710" ht="14.25" customHeight="1" s="54"/>
    <row r="711" ht="14.25" customHeight="1" s="54"/>
    <row r="712" ht="14.25" customHeight="1" s="54"/>
    <row r="713" ht="14.25" customHeight="1" s="54"/>
    <row r="714" ht="14.25" customHeight="1" s="54"/>
    <row r="715" ht="14.25" customHeight="1" s="54"/>
    <row r="716" ht="14.25" customHeight="1" s="54"/>
    <row r="717" ht="14.25" customHeight="1" s="54"/>
    <row r="718" ht="14.25" customHeight="1" s="54"/>
    <row r="719" ht="14.25" customHeight="1" s="54"/>
    <row r="720" ht="14.25" customHeight="1" s="54"/>
    <row r="721" ht="14.25" customHeight="1" s="54"/>
    <row r="722" ht="14.25" customHeight="1" s="54"/>
    <row r="723" ht="14.25" customHeight="1" s="54"/>
    <row r="724" ht="14.25" customHeight="1" s="54"/>
    <row r="725" ht="14.25" customHeight="1" s="54"/>
    <row r="726" ht="14.25" customHeight="1" s="54"/>
    <row r="727" ht="14.25" customHeight="1" s="54"/>
    <row r="728" ht="14.25" customHeight="1" s="54"/>
    <row r="729" ht="14.25" customHeight="1" s="54"/>
    <row r="730" ht="14.25" customHeight="1" s="54"/>
    <row r="731" ht="14.25" customHeight="1" s="54"/>
    <row r="732" ht="14.25" customHeight="1" s="54"/>
    <row r="733" ht="14.25" customHeight="1" s="54"/>
    <row r="734" ht="14.25" customHeight="1" s="54"/>
    <row r="735" ht="14.25" customHeight="1" s="54"/>
    <row r="736" ht="14.25" customHeight="1" s="54"/>
    <row r="737" ht="14.25" customHeight="1" s="54"/>
    <row r="738" ht="14.25" customHeight="1" s="54"/>
    <row r="739" ht="14.25" customHeight="1" s="54"/>
    <row r="740" ht="14.25" customHeight="1" s="54"/>
    <row r="741" ht="14.25" customHeight="1" s="54"/>
    <row r="742" ht="14.25" customHeight="1" s="54"/>
    <row r="743" ht="14.25" customHeight="1" s="54"/>
    <row r="744" ht="14.25" customHeight="1" s="54"/>
    <row r="745" ht="14.25" customHeight="1" s="54"/>
    <row r="746" ht="14.25" customHeight="1" s="54"/>
    <row r="747" ht="14.25" customHeight="1" s="54"/>
    <row r="748" ht="14.25" customHeight="1" s="54"/>
    <row r="749" ht="14.25" customHeight="1" s="54"/>
    <row r="750" ht="14.25" customHeight="1" s="54"/>
    <row r="751" ht="14.25" customHeight="1" s="54"/>
    <row r="752" ht="14.25" customHeight="1" s="54"/>
    <row r="753" ht="14.25" customHeight="1" s="54"/>
    <row r="754" ht="14.25" customHeight="1" s="54"/>
    <row r="755" ht="14.25" customHeight="1" s="54"/>
    <row r="756" ht="14.25" customHeight="1" s="54"/>
    <row r="757" ht="14.25" customHeight="1" s="54"/>
    <row r="758" ht="14.25" customHeight="1" s="54"/>
    <row r="759" ht="14.25" customHeight="1" s="54"/>
    <row r="760" ht="14.25" customHeight="1" s="54"/>
    <row r="761" ht="14.25" customHeight="1" s="54"/>
    <row r="762" ht="14.25" customHeight="1" s="54"/>
    <row r="763" ht="14.25" customHeight="1" s="54"/>
    <row r="764" ht="14.25" customHeight="1" s="54"/>
    <row r="765" ht="14.25" customHeight="1" s="54"/>
    <row r="766" ht="14.25" customHeight="1" s="54"/>
    <row r="767" ht="14.25" customHeight="1" s="54"/>
    <row r="768" ht="14.25" customHeight="1" s="54"/>
    <row r="769" ht="14.25" customHeight="1" s="54"/>
    <row r="770" ht="14.25" customHeight="1" s="54"/>
    <row r="771" ht="14.25" customHeight="1" s="54"/>
    <row r="772" ht="14.25" customHeight="1" s="54"/>
    <row r="773" ht="14.25" customHeight="1" s="54"/>
    <row r="774" ht="14.25" customHeight="1" s="54"/>
    <row r="775" ht="14.25" customHeight="1" s="54"/>
    <row r="776" ht="14.25" customHeight="1" s="54"/>
    <row r="777" ht="14.25" customHeight="1" s="54"/>
    <row r="778" ht="14.25" customHeight="1" s="54"/>
    <row r="779" ht="14.25" customHeight="1" s="54"/>
    <row r="780" ht="14.25" customHeight="1" s="54"/>
    <row r="781" ht="14.25" customHeight="1" s="54"/>
    <row r="782" ht="14.25" customHeight="1" s="54"/>
    <row r="783" ht="14.25" customHeight="1" s="54"/>
    <row r="784" ht="14.25" customHeight="1" s="54"/>
    <row r="785" ht="14.25" customHeight="1" s="54"/>
    <row r="786" ht="14.25" customHeight="1" s="54"/>
    <row r="787" ht="14.25" customHeight="1" s="54"/>
    <row r="788" ht="14.25" customHeight="1" s="54"/>
    <row r="789" ht="14.25" customHeight="1" s="54"/>
    <row r="790" ht="14.25" customHeight="1" s="54"/>
    <row r="791" ht="14.25" customHeight="1" s="54"/>
    <row r="792" ht="14.25" customHeight="1" s="54"/>
    <row r="793" ht="14.25" customHeight="1" s="54"/>
    <row r="794" ht="14.25" customHeight="1" s="54"/>
    <row r="795" ht="14.25" customHeight="1" s="54"/>
    <row r="796" ht="14.25" customHeight="1" s="54"/>
    <row r="797" ht="14.25" customHeight="1" s="54"/>
    <row r="798" ht="14.25" customHeight="1" s="54"/>
    <row r="799" ht="14.25" customHeight="1" s="54"/>
    <row r="800" ht="14.25" customHeight="1" s="54"/>
    <row r="801" ht="14.25" customHeight="1" s="54"/>
    <row r="802" ht="14.25" customHeight="1" s="54"/>
    <row r="803" ht="14.25" customHeight="1" s="54"/>
    <row r="804" ht="14.25" customHeight="1" s="54"/>
    <row r="805" ht="14.25" customHeight="1" s="54"/>
    <row r="806" ht="14.25" customHeight="1" s="54"/>
    <row r="807" ht="14.25" customHeight="1" s="54"/>
    <row r="808" ht="14.25" customHeight="1" s="54"/>
    <row r="809" ht="14.25" customHeight="1" s="54"/>
    <row r="810" ht="14.25" customHeight="1" s="54"/>
    <row r="811" ht="14.25" customHeight="1" s="54"/>
    <row r="812" ht="14.25" customHeight="1" s="54"/>
    <row r="813" ht="14.25" customHeight="1" s="54"/>
    <row r="814" ht="14.25" customHeight="1" s="54"/>
    <row r="815" ht="14.25" customHeight="1" s="54"/>
    <row r="816" ht="14.25" customHeight="1" s="54"/>
    <row r="817" ht="14.25" customHeight="1" s="54"/>
    <row r="818" ht="14.25" customHeight="1" s="54"/>
    <row r="819" ht="14.25" customHeight="1" s="54"/>
    <row r="820" ht="14.25" customHeight="1" s="54"/>
    <row r="821" ht="14.25" customHeight="1" s="54"/>
    <row r="822" ht="14.25" customHeight="1" s="54"/>
    <row r="823" ht="14.25" customHeight="1" s="54"/>
    <row r="824" ht="14.25" customHeight="1" s="54"/>
    <row r="825" ht="14.25" customHeight="1" s="54"/>
    <row r="826" ht="14.25" customHeight="1" s="54"/>
    <row r="827" ht="14.25" customHeight="1" s="54"/>
    <row r="828" ht="14.25" customHeight="1" s="54"/>
    <row r="829" ht="14.25" customHeight="1" s="54"/>
    <row r="830" ht="14.25" customHeight="1" s="54"/>
    <row r="831" ht="14.25" customHeight="1" s="54"/>
    <row r="832" ht="14.25" customHeight="1" s="54"/>
    <row r="833" ht="14.25" customHeight="1" s="54"/>
    <row r="834" ht="14.25" customHeight="1" s="54"/>
    <row r="835" ht="14.25" customHeight="1" s="54"/>
    <row r="836" ht="14.25" customHeight="1" s="54"/>
    <row r="837" ht="14.25" customHeight="1" s="54"/>
    <row r="838" ht="14.25" customHeight="1" s="54"/>
    <row r="839" ht="14.25" customHeight="1" s="54"/>
    <row r="840" ht="14.25" customHeight="1" s="54"/>
    <row r="841" ht="14.25" customHeight="1" s="54"/>
    <row r="842" ht="14.25" customHeight="1" s="54"/>
    <row r="843" ht="14.25" customHeight="1" s="54"/>
    <row r="844" ht="14.25" customHeight="1" s="54"/>
    <row r="845" ht="14.25" customHeight="1" s="54"/>
    <row r="846" ht="14.25" customHeight="1" s="54"/>
    <row r="847" ht="14.25" customHeight="1" s="54"/>
    <row r="848" ht="14.25" customHeight="1" s="54"/>
    <row r="849" ht="14.25" customHeight="1" s="54"/>
    <row r="850" ht="14.25" customHeight="1" s="54"/>
    <row r="851" ht="14.25" customHeight="1" s="54"/>
    <row r="852" ht="14.25" customHeight="1" s="54"/>
    <row r="853" ht="14.25" customHeight="1" s="54"/>
    <row r="854" ht="14.25" customHeight="1" s="54"/>
    <row r="855" ht="14.25" customHeight="1" s="54"/>
    <row r="856" ht="14.25" customHeight="1" s="54"/>
    <row r="857" ht="14.25" customHeight="1" s="54"/>
    <row r="858" ht="14.25" customHeight="1" s="54"/>
    <row r="859" ht="14.25" customHeight="1" s="54"/>
    <row r="860" ht="14.25" customHeight="1" s="54"/>
    <row r="861" ht="14.25" customHeight="1" s="54"/>
    <row r="862" ht="14.25" customHeight="1" s="54"/>
    <row r="863" ht="14.25" customHeight="1" s="54"/>
    <row r="864" ht="14.25" customHeight="1" s="54"/>
    <row r="865" ht="14.25" customHeight="1" s="54"/>
    <row r="866" ht="14.25" customHeight="1" s="54"/>
    <row r="867" ht="14.25" customHeight="1" s="54"/>
    <row r="868" ht="14.25" customHeight="1" s="54"/>
    <row r="869" ht="14.25" customHeight="1" s="54"/>
    <row r="870" ht="14.25" customHeight="1" s="54"/>
    <row r="871" ht="14.25" customHeight="1" s="54"/>
    <row r="872" ht="14.25" customHeight="1" s="54"/>
    <row r="873" ht="14.25" customHeight="1" s="54"/>
    <row r="874" ht="14.25" customHeight="1" s="54"/>
    <row r="875" ht="14.25" customHeight="1" s="54"/>
    <row r="876" ht="14.25" customHeight="1" s="54"/>
    <row r="877" ht="14.25" customHeight="1" s="54"/>
    <row r="878" ht="14.25" customHeight="1" s="54"/>
    <row r="879" ht="14.25" customHeight="1" s="54"/>
    <row r="880" ht="14.25" customHeight="1" s="54"/>
    <row r="881" ht="14.25" customHeight="1" s="54"/>
    <row r="882" ht="14.25" customHeight="1" s="54"/>
    <row r="883" ht="14.25" customHeight="1" s="54"/>
    <row r="884" ht="14.25" customHeight="1" s="54"/>
    <row r="885" ht="14.25" customHeight="1" s="54"/>
    <row r="886" ht="14.25" customHeight="1" s="54"/>
    <row r="887" ht="14.25" customHeight="1" s="54"/>
    <row r="888" ht="14.25" customHeight="1" s="54"/>
    <row r="889" ht="14.25" customHeight="1" s="54"/>
    <row r="890" ht="14.25" customHeight="1" s="54"/>
    <row r="891" ht="14.25" customHeight="1" s="54"/>
    <row r="892" ht="14.25" customHeight="1" s="54"/>
    <row r="893" ht="14.25" customHeight="1" s="54"/>
    <row r="894" ht="14.25" customHeight="1" s="54"/>
    <row r="895" ht="14.25" customHeight="1" s="54"/>
    <row r="896" ht="14.25" customHeight="1" s="54"/>
    <row r="897" ht="14.25" customHeight="1" s="54"/>
    <row r="898" ht="14.25" customHeight="1" s="54"/>
    <row r="899" ht="14.25" customHeight="1" s="54"/>
    <row r="900" ht="14.25" customHeight="1" s="54"/>
    <row r="901" ht="14.25" customHeight="1" s="54"/>
    <row r="902" ht="14.25" customHeight="1" s="54"/>
    <row r="903" ht="14.25" customHeight="1" s="54"/>
    <row r="904" ht="14.25" customHeight="1" s="54"/>
    <row r="905" ht="14.25" customHeight="1" s="54"/>
    <row r="906" ht="14.25" customHeight="1" s="54"/>
    <row r="907" ht="14.25" customHeight="1" s="54"/>
    <row r="908" ht="14.25" customHeight="1" s="54"/>
    <row r="909" ht="14.25" customHeight="1" s="54"/>
    <row r="910" ht="14.25" customHeight="1" s="54"/>
    <row r="911" ht="14.25" customHeight="1" s="54"/>
    <row r="912" ht="14.25" customHeight="1" s="54"/>
    <row r="913" ht="14.25" customHeight="1" s="54"/>
    <row r="914" ht="14.25" customHeight="1" s="54"/>
    <row r="915" ht="14.25" customHeight="1" s="54"/>
    <row r="916" ht="14.25" customHeight="1" s="54"/>
    <row r="917" ht="14.25" customHeight="1" s="54"/>
    <row r="918" ht="14.25" customHeight="1" s="54"/>
    <row r="919" ht="14.25" customHeight="1" s="54"/>
    <row r="920" ht="14.25" customHeight="1" s="54"/>
    <row r="921" ht="14.25" customHeight="1" s="54"/>
    <row r="922" ht="14.25" customHeight="1" s="54"/>
    <row r="923" ht="14.25" customHeight="1" s="54"/>
    <row r="924" ht="14.25" customHeight="1" s="54"/>
    <row r="925" ht="14.25" customHeight="1" s="54"/>
    <row r="926" ht="14.25" customHeight="1" s="54"/>
    <row r="927" ht="14.25" customHeight="1" s="54"/>
    <row r="928" ht="14.25" customHeight="1" s="54"/>
    <row r="929" ht="14.25" customHeight="1" s="54"/>
    <row r="930" ht="14.25" customHeight="1" s="54"/>
    <row r="931" ht="14.25" customHeight="1" s="54"/>
    <row r="932" ht="14.25" customHeight="1" s="54"/>
    <row r="933" ht="14.25" customHeight="1" s="54"/>
    <row r="934" ht="14.25" customHeight="1" s="54"/>
    <row r="935" ht="14.25" customHeight="1" s="54"/>
    <row r="936" ht="14.25" customHeight="1" s="54"/>
    <row r="937" ht="14.25" customHeight="1" s="54"/>
    <row r="938" ht="14.25" customHeight="1" s="54"/>
    <row r="939" ht="14.25" customHeight="1" s="54"/>
    <row r="940" ht="14.25" customHeight="1" s="54"/>
    <row r="941" ht="14.25" customHeight="1" s="54"/>
    <row r="942" ht="14.25" customHeight="1" s="54"/>
    <row r="943" ht="14.25" customHeight="1" s="54"/>
    <row r="944" ht="14.25" customHeight="1" s="54"/>
    <row r="945" ht="14.25" customHeight="1" s="54"/>
    <row r="946" ht="14.25" customHeight="1" s="54"/>
    <row r="947" ht="14.25" customHeight="1" s="54"/>
    <row r="948" ht="14.25" customHeight="1" s="54"/>
    <row r="949" ht="14.25" customHeight="1" s="54"/>
    <row r="950" ht="14.25" customHeight="1" s="54"/>
    <row r="951" ht="14.25" customHeight="1" s="54"/>
    <row r="952" ht="14.25" customHeight="1" s="54"/>
    <row r="953" ht="14.25" customHeight="1" s="54"/>
    <row r="954" ht="14.25" customHeight="1" s="54"/>
    <row r="955" ht="14.25" customHeight="1" s="54"/>
    <row r="956" ht="14.25" customHeight="1" s="54"/>
    <row r="957" ht="14.25" customHeight="1" s="54"/>
    <row r="958" ht="14.25" customHeight="1" s="54"/>
    <row r="959" ht="14.25" customHeight="1" s="54"/>
    <row r="960" ht="14.25" customHeight="1" s="54"/>
    <row r="961" ht="14.25" customHeight="1" s="54"/>
    <row r="962" ht="14.25" customHeight="1" s="54"/>
    <row r="963" ht="14.25" customHeight="1" s="54"/>
    <row r="964" ht="14.25" customHeight="1" s="54"/>
    <row r="965" ht="14.25" customHeight="1" s="54"/>
    <row r="966" ht="14.25" customHeight="1" s="54"/>
    <row r="967" ht="14.25" customHeight="1" s="54"/>
    <row r="968" ht="14.25" customHeight="1" s="54"/>
    <row r="969" ht="14.25" customHeight="1" s="54"/>
    <row r="970" ht="14.25" customHeight="1" s="54"/>
    <row r="971" ht="14.25" customHeight="1" s="54"/>
    <row r="972" ht="14.25" customHeight="1" s="54"/>
    <row r="973" ht="14.25" customHeight="1" s="54"/>
    <row r="974" ht="14.25" customHeight="1" s="54"/>
    <row r="975" ht="14.25" customHeight="1" s="54"/>
    <row r="976" ht="14.25" customHeight="1" s="54"/>
    <row r="977" ht="14.25" customHeight="1" s="54"/>
    <row r="978" ht="14.25" customHeight="1" s="54"/>
    <row r="979" ht="14.25" customHeight="1" s="54"/>
    <row r="980" ht="14.25" customHeight="1" s="54"/>
    <row r="981" ht="14.25" customHeight="1" s="54"/>
    <row r="982" ht="14.25" customHeight="1" s="54"/>
    <row r="983" ht="14.25" customHeight="1" s="54"/>
    <row r="984" ht="14.25" customHeight="1" s="54"/>
    <row r="985" ht="14.25" customHeight="1" s="54"/>
    <row r="986" ht="14.25" customHeight="1" s="54"/>
    <row r="987" ht="14.25" customHeight="1" s="54"/>
    <row r="988" ht="14.25" customHeight="1" s="54"/>
    <row r="989" ht="14.25" customHeight="1" s="54"/>
    <row r="990" ht="14.25" customHeight="1" s="54"/>
    <row r="991" ht="14.25" customHeight="1" s="54"/>
    <row r="992" ht="14.25" customHeight="1" s="54"/>
    <row r="993" ht="14.25" customHeight="1" s="54"/>
    <row r="994" ht="14.25" customHeight="1" s="54"/>
    <row r="995" ht="14.25" customHeight="1" s="54"/>
    <row r="996" ht="14.25" customHeight="1" s="54"/>
    <row r="997" ht="14.25" customHeight="1" s="54"/>
    <row r="998" ht="14.25" customHeight="1" s="54"/>
    <row r="999" ht="14.25" customHeight="1" s="54"/>
    <row r="1000" ht="14.25" customHeight="1" s="54"/>
    <row r="1001" ht="14.25" customHeight="1" s="54"/>
    <row r="1002" ht="14.25" customHeight="1" s="54"/>
    <row r="1003" ht="14.25" customHeight="1" s="54"/>
    <row r="1004" ht="14.25" customHeight="1" s="54"/>
    <row r="1005" ht="14.25" customHeight="1" s="54"/>
    <row r="1006" ht="14.25" customHeight="1" s="54"/>
    <row r="1007" ht="14.25" customHeight="1" s="54"/>
    <row r="1008" ht="14.25" customHeight="1" s="54"/>
    <row r="1009" ht="14.25" customHeight="1" s="54"/>
    <row r="1010" ht="14.25" customHeight="1" s="54"/>
    <row r="1011" ht="14.25" customHeight="1" s="54"/>
    <row r="1012" ht="14.25" customHeight="1" s="54"/>
    <row r="1013" ht="14.25" customHeight="1" s="54"/>
    <row r="1014" ht="14.25" customHeight="1" s="54"/>
    <row r="1015" ht="14.25" customHeight="1" s="54"/>
    <row r="1016" ht="14.25" customHeight="1" s="54"/>
    <row r="1017" ht="14.25" customHeight="1" s="54"/>
    <row r="1018" ht="14.25" customHeight="1" s="54"/>
    <row r="1019" ht="14.25" customHeight="1" s="54"/>
    <row r="1020" ht="14.25" customHeight="1" s="54"/>
    <row r="1021" ht="14.25" customHeight="1" s="54"/>
    <row r="1022" ht="14.25" customHeight="1" s="54"/>
    <row r="1023" ht="14.25" customHeight="1" s="54"/>
    <row r="1024" ht="14.25" customHeight="1" s="54"/>
    <row r="1025" ht="14.25" customHeight="1" s="54"/>
    <row r="1026" ht="14.25" customHeight="1" s="54"/>
    <row r="1027" ht="14.25" customHeight="1" s="54"/>
    <row r="1028" ht="14.25" customHeight="1" s="54"/>
    <row r="1029" ht="14.25" customHeight="1" s="54"/>
    <row r="1030" ht="14.25" customHeight="1" s="54"/>
    <row r="1031" ht="14.25" customHeight="1" s="54"/>
    <row r="1032" ht="14.25" customHeight="1" s="54"/>
    <row r="1033" ht="14.25" customHeight="1" s="54"/>
    <row r="1034" ht="14.25" customHeight="1" s="54"/>
    <row r="1035" ht="14.25" customHeight="1" s="54"/>
    <row r="1036" ht="14.25" customHeight="1" s="54"/>
    <row r="1037" ht="14.25" customHeight="1" s="54"/>
    <row r="1038" ht="14.25" customHeight="1" s="54"/>
    <row r="1039" ht="14.25" customHeight="1" s="54"/>
    <row r="1040" ht="14.25" customHeight="1" s="54"/>
    <row r="1041" ht="14.25" customHeight="1" s="54"/>
    <row r="1042" ht="14.25" customHeight="1" s="54"/>
    <row r="1043" ht="14.25" customHeight="1" s="54"/>
    <row r="1044" ht="14.25" customHeight="1" s="54"/>
    <row r="1045" ht="14.25" customHeight="1" s="54"/>
    <row r="1046" ht="14.25" customHeight="1" s="54"/>
    <row r="1047" ht="14.25" customHeight="1" s="54"/>
    <row r="1048" ht="14.25" customHeight="1" s="54"/>
    <row r="1049" ht="14.25" customHeight="1" s="54"/>
    <row r="1050" ht="14.25" customHeight="1" s="54"/>
    <row r="1051" ht="14.25" customHeight="1" s="54"/>
    <row r="1052" ht="14.25" customHeight="1" s="54"/>
    <row r="1053" ht="14.25" customHeight="1" s="54"/>
    <row r="1054" ht="14.25" customHeight="1" s="54"/>
    <row r="1055" ht="14.25" customHeight="1" s="54"/>
    <row r="1056" ht="14.25" customHeight="1" s="54"/>
    <row r="1057" ht="14.25" customHeight="1" s="54"/>
    <row r="1058" ht="14.25" customHeight="1" s="54"/>
    <row r="1059" ht="14.25" customHeight="1" s="54"/>
    <row r="1060" ht="14.25" customHeight="1" s="54"/>
    <row r="1061" ht="14.25" customHeight="1" s="54"/>
    <row r="1062" ht="14.25" customHeight="1" s="54"/>
    <row r="1063" ht="14.25" customHeight="1" s="54"/>
    <row r="1064" ht="14.25" customHeight="1" s="54"/>
    <row r="1065" ht="14.25" customHeight="1" s="54"/>
    <row r="1066" ht="14.25" customHeight="1" s="54"/>
    <row r="1067" ht="14.25" customHeight="1" s="54"/>
    <row r="1068" ht="14.25" customHeight="1" s="54"/>
    <row r="1069" ht="14.25" customHeight="1" s="54"/>
    <row r="1070" ht="14.25" customHeight="1" s="54"/>
    <row r="1071" ht="14.25" customHeight="1" s="54"/>
    <row r="1072" ht="14.25" customHeight="1" s="54"/>
    <row r="1073" ht="14.25" customHeight="1" s="54"/>
    <row r="1074" ht="14.25" customHeight="1" s="54"/>
    <row r="1075" ht="14.25" customHeight="1" s="54"/>
    <row r="1076" ht="14.25" customHeight="1" s="54"/>
    <row r="1077" ht="14.25" customHeight="1" s="54"/>
    <row r="1078" ht="14.25" customHeight="1" s="54"/>
    <row r="1079" ht="14.25" customHeight="1" s="54"/>
    <row r="1080" ht="14.25" customHeight="1" s="54"/>
    <row r="1081" ht="14.25" customHeight="1" s="54"/>
    <row r="1082" ht="14.25" customHeight="1" s="54"/>
    <row r="1083" ht="14.25" customHeight="1" s="54"/>
    <row r="1084" ht="14.25" customHeight="1" s="54"/>
    <row r="1085" ht="14.25" customHeight="1" s="54"/>
    <row r="1086" ht="14.25" customHeight="1" s="54"/>
    <row r="1087" ht="14.25" customHeight="1" s="54"/>
    <row r="1088" ht="14.25" customHeight="1" s="54"/>
    <row r="1089" ht="14.25" customHeight="1" s="54"/>
    <row r="1090" ht="14.25" customHeight="1" s="54"/>
    <row r="1091" ht="14.25" customHeight="1" s="54"/>
    <row r="1092" ht="14.25" customHeight="1" s="54"/>
    <row r="1093" ht="14.25" customHeight="1" s="54"/>
    <row r="1094" ht="14.25" customHeight="1" s="54"/>
    <row r="1095" ht="14.25" customHeight="1" s="54"/>
    <row r="1096" ht="14.25" customHeight="1" s="54"/>
    <row r="1097" ht="14.25" customHeight="1" s="54"/>
    <row r="1098" ht="14.25" customHeight="1" s="54"/>
    <row r="1099" ht="14.25" customHeight="1" s="54"/>
    <row r="1100" ht="14.25" customHeight="1" s="54"/>
    <row r="1101" ht="14.25" customHeight="1" s="54"/>
    <row r="1102" ht="14.25" customHeight="1" s="54"/>
    <row r="1103" ht="14.25" customHeight="1" s="54"/>
    <row r="1104" ht="14.25" customHeight="1" s="54"/>
    <row r="1105" ht="14.25" customHeight="1" s="54"/>
    <row r="1106" ht="14.25" customHeight="1" s="54"/>
    <row r="1107" ht="14.25" customHeight="1" s="54"/>
    <row r="1108" ht="14.25" customHeight="1" s="54"/>
    <row r="1109" ht="14.25" customHeight="1" s="54"/>
    <row r="1110" ht="14.25" customHeight="1" s="54"/>
    <row r="1111" ht="14.25" customHeight="1" s="54"/>
    <row r="1112" ht="14.25" customHeight="1" s="54"/>
    <row r="1113" ht="14.25" customHeight="1" s="54"/>
    <row r="1114" ht="14.25" customHeight="1" s="54"/>
    <row r="1115" ht="14.25" customHeight="1" s="54"/>
    <row r="1116" ht="14.25" customHeight="1" s="54"/>
    <row r="1117" ht="14.25" customHeight="1" s="54"/>
    <row r="1118" ht="14.25" customHeight="1" s="54"/>
    <row r="1119" ht="14.25" customHeight="1" s="54"/>
    <row r="1120" ht="14.25" customHeight="1" s="54"/>
    <row r="1121" ht="14.25" customHeight="1" s="54"/>
    <row r="1122" ht="14.25" customHeight="1" s="54"/>
    <row r="1123" ht="14.25" customHeight="1" s="54"/>
    <row r="1124" ht="14.25" customHeight="1" s="54"/>
    <row r="1125" ht="14.25" customHeight="1" s="54"/>
    <row r="1126" ht="14.25" customHeight="1" s="54"/>
    <row r="1127" ht="14.25" customHeight="1" s="54"/>
    <row r="1128" ht="14.25" customHeight="1" s="54"/>
    <row r="1129" ht="14.25" customHeight="1" s="54"/>
    <row r="1130" ht="14.25" customHeight="1" s="54"/>
    <row r="1131" ht="14.25" customHeight="1" s="54"/>
    <row r="1132" ht="14.25" customHeight="1" s="54"/>
    <row r="1133" ht="14.25" customHeight="1" s="54"/>
    <row r="1134" ht="14.25" customHeight="1" s="54"/>
    <row r="1135" ht="14.25" customHeight="1" s="54"/>
    <row r="1136" ht="14.25" customHeight="1" s="54"/>
    <row r="1137" ht="14.25" customHeight="1" s="54"/>
    <row r="1138" ht="14.25" customHeight="1" s="54"/>
    <row r="1139" ht="14.25" customHeight="1" s="54"/>
    <row r="1140" ht="14.25" customHeight="1" s="54"/>
    <row r="1141" ht="14.25" customHeight="1" s="54"/>
    <row r="1142" ht="14.25" customHeight="1" s="54"/>
    <row r="1143" ht="14.25" customHeight="1" s="54"/>
    <row r="1144" ht="14.25" customHeight="1" s="54"/>
    <row r="1145" ht="14.25" customHeight="1" s="54"/>
    <row r="1146" ht="14.25" customHeight="1" s="54"/>
    <row r="1147" ht="14.25" customHeight="1" s="54"/>
    <row r="1148" ht="14.25" customHeight="1" s="54"/>
    <row r="1149" ht="14.25" customHeight="1" s="54"/>
    <row r="1150" ht="14.25" customHeight="1" s="54"/>
    <row r="1151" ht="14.25" customHeight="1" s="54"/>
    <row r="1152" ht="14.25" customHeight="1" s="54"/>
    <row r="1153" ht="14.25" customHeight="1" s="54"/>
    <row r="1154" ht="14.25" customHeight="1" s="54"/>
    <row r="1155" ht="14.25" customHeight="1" s="54"/>
    <row r="1156" ht="14.25" customHeight="1" s="54"/>
    <row r="1157" ht="14.25" customHeight="1" s="54"/>
    <row r="1158" ht="14.25" customHeight="1" s="54"/>
    <row r="1159" ht="14.25" customHeight="1" s="54"/>
    <row r="1160" ht="14.25" customHeight="1" s="54"/>
    <row r="1161" ht="14.25" customHeight="1" s="54"/>
    <row r="1162" ht="14.25" customHeight="1" s="54"/>
    <row r="1163" ht="14.25" customHeight="1" s="54"/>
    <row r="1164" ht="14.25" customHeight="1" s="54"/>
    <row r="1165" ht="14.25" customHeight="1" s="54"/>
    <row r="1166" ht="14.25" customHeight="1" s="54"/>
    <row r="1167" ht="14.25" customHeight="1" s="54"/>
    <row r="1168" ht="14.25" customHeight="1" s="54"/>
    <row r="1169" ht="14.25" customHeight="1" s="54"/>
    <row r="1170" ht="14.25" customHeight="1" s="54"/>
    <row r="1171" ht="14.25" customHeight="1" s="54"/>
    <row r="1172" ht="14.25" customHeight="1" s="54"/>
    <row r="1173" ht="14.25" customHeight="1" s="54"/>
    <row r="1174" ht="14.25" customHeight="1" s="54"/>
    <row r="1175" ht="14.25" customHeight="1" s="54"/>
    <row r="1176" ht="14.25" customHeight="1" s="54"/>
    <row r="1177" ht="14.25" customHeight="1" s="54"/>
    <row r="1178" ht="14.25" customHeight="1" s="54"/>
    <row r="1179" ht="14.25" customHeight="1" s="54"/>
    <row r="1180" ht="14.25" customHeight="1" s="54"/>
    <row r="1181" ht="14.25" customHeight="1" s="54"/>
    <row r="1182" ht="14.25" customHeight="1" s="54"/>
    <row r="1183" ht="14.25" customHeight="1" s="54"/>
    <row r="1184" ht="14.25" customHeight="1" s="54"/>
    <row r="1185" ht="14.25" customHeight="1" s="54"/>
    <row r="1186" ht="14.25" customHeight="1" s="54"/>
    <row r="1187" ht="14.25" customHeight="1" s="54"/>
    <row r="1188" ht="14.25" customHeight="1" s="54"/>
    <row r="1189" ht="14.25" customHeight="1" s="54"/>
    <row r="1190" ht="14.25" customHeight="1" s="54"/>
    <row r="1191" ht="14.25" customHeight="1" s="54"/>
    <row r="1192" ht="14.25" customHeight="1" s="54"/>
    <row r="1193" ht="14.25" customHeight="1" s="54"/>
    <row r="1194" ht="14.25" customHeight="1" s="54"/>
    <row r="1195" ht="14.25" customHeight="1" s="54"/>
    <row r="1196" ht="14.25" customHeight="1" s="54"/>
    <row r="1197" ht="14.25" customHeight="1" s="54"/>
    <row r="1198" ht="14.25" customHeight="1" s="54"/>
    <row r="1199" ht="14.25" customHeight="1" s="54"/>
    <row r="1200" ht="14.25" customHeight="1" s="54"/>
    <row r="1201" ht="14.25" customHeight="1" s="54"/>
    <row r="1202" ht="14.25" customHeight="1" s="54"/>
    <row r="1203" ht="14.25" customHeight="1" s="54"/>
    <row r="1204" ht="14.25" customHeight="1" s="54"/>
    <row r="1205" ht="14.25" customHeight="1" s="54"/>
    <row r="1206" ht="14.25" customHeight="1" s="54"/>
    <row r="1207" ht="14.25" customHeight="1" s="54"/>
    <row r="1208" ht="14.25" customHeight="1" s="54"/>
    <row r="1209" ht="14.25" customHeight="1" s="54"/>
    <row r="1210" ht="14.25" customHeight="1" s="54"/>
    <row r="1211" ht="14.25" customHeight="1" s="54"/>
    <row r="1212" ht="14.25" customHeight="1" s="54"/>
    <row r="1213" ht="14.25" customHeight="1" s="54"/>
    <row r="1214" ht="14.25" customHeight="1" s="54"/>
    <row r="1215" ht="14.25" customHeight="1" s="54"/>
    <row r="1216" ht="14.25" customHeight="1" s="54"/>
    <row r="1217" ht="14.25" customHeight="1" s="54"/>
    <row r="1218" ht="14.25" customHeight="1" s="54"/>
    <row r="1219" ht="14.25" customHeight="1" s="54"/>
    <row r="1220" ht="14.25" customHeight="1" s="54"/>
    <row r="1221" ht="14.25" customHeight="1" s="54"/>
    <row r="1222" ht="14.25" customHeight="1" s="54"/>
    <row r="1223" ht="14.25" customHeight="1" s="54"/>
    <row r="1224" ht="14.25" customHeight="1" s="54"/>
    <row r="1225" ht="14.25" customHeight="1" s="54"/>
    <row r="1226" ht="14.25" customHeight="1" s="54"/>
    <row r="1227" ht="14.25" customHeight="1" s="54"/>
    <row r="1228" ht="14.25" customHeight="1" s="54"/>
    <row r="1229" ht="14.25" customHeight="1" s="54"/>
    <row r="1230" ht="14.25" customHeight="1" s="54"/>
    <row r="1231" ht="14.25" customHeight="1" s="54"/>
    <row r="1232" ht="14.25" customHeight="1" s="54"/>
    <row r="1233" ht="14.25" customHeight="1" s="54"/>
    <row r="1234" ht="14.25" customHeight="1" s="54"/>
    <row r="1235" ht="14.25" customHeight="1" s="54"/>
    <row r="1236" ht="14.25" customHeight="1" s="54"/>
    <row r="1237" ht="14.25" customHeight="1" s="54"/>
    <row r="1238" ht="14.25" customHeight="1" s="54"/>
    <row r="1239" ht="14.25" customHeight="1" s="54"/>
    <row r="1240" ht="14.25" customHeight="1" s="54"/>
    <row r="1241" ht="14.25" customHeight="1" s="54"/>
    <row r="1242" ht="14.25" customHeight="1" s="54"/>
    <row r="1243" ht="14.25" customHeight="1" s="54"/>
    <row r="1244" ht="14.25" customHeight="1" s="54"/>
    <row r="1245" ht="14.25" customHeight="1" s="54"/>
    <row r="1246" ht="14.25" customHeight="1" s="54"/>
    <row r="1247" ht="14.25" customHeight="1" s="54"/>
    <row r="1248" ht="14.25" customHeight="1" s="54"/>
    <row r="1249" ht="14.25" customHeight="1" s="54"/>
    <row r="1250" ht="14.25" customHeight="1" s="54"/>
    <row r="1251" ht="14.25" customHeight="1" s="54"/>
    <row r="1252" ht="14.25" customHeight="1" s="54"/>
    <row r="1253" ht="14.25" customHeight="1" s="54"/>
    <row r="1254" ht="14.25" customHeight="1" s="54"/>
    <row r="1255" ht="14.25" customHeight="1" s="54"/>
    <row r="1256" ht="14.25" customHeight="1" s="54"/>
    <row r="1257" ht="14.25" customHeight="1" s="54"/>
    <row r="1258" ht="14.25" customHeight="1" s="54"/>
    <row r="1259" ht="14.25" customHeight="1" s="54"/>
    <row r="1260" ht="14.25" customHeight="1" s="54"/>
    <row r="1261" ht="14.25" customHeight="1" s="54"/>
    <row r="1262" ht="14.25" customHeight="1" s="54"/>
    <row r="1263" ht="14.25" customHeight="1" s="54"/>
    <row r="1264" ht="14.25" customHeight="1" s="54"/>
    <row r="1265" ht="14.25" customHeight="1" s="54"/>
    <row r="1266" ht="14.25" customHeight="1" s="54"/>
    <row r="1267" ht="14.25" customHeight="1" s="54"/>
    <row r="1268" ht="14.25" customHeight="1" s="54"/>
    <row r="1269" ht="14.25" customHeight="1" s="54"/>
    <row r="1270" ht="14.25" customHeight="1" s="54"/>
    <row r="1271" ht="14.25" customHeight="1" s="54"/>
    <row r="1272" ht="14.25" customHeight="1" s="54"/>
    <row r="1273" ht="14.25" customHeight="1" s="54"/>
    <row r="1274" ht="14.25" customHeight="1" s="54"/>
    <row r="1275" ht="14.25" customHeight="1" s="54"/>
    <row r="1276" ht="14.25" customHeight="1" s="54"/>
    <row r="1277" ht="14.25" customHeight="1" s="54"/>
    <row r="1278" ht="14.25" customHeight="1" s="54"/>
    <row r="1279" ht="14.25" customHeight="1" s="54"/>
    <row r="1280" ht="14.25" customHeight="1" s="54"/>
    <row r="1281" ht="14.25" customHeight="1" s="54"/>
    <row r="1282" ht="14.25" customHeight="1" s="54"/>
    <row r="1283" ht="14.25" customHeight="1" s="54"/>
    <row r="1284" ht="14.25" customHeight="1" s="54"/>
    <row r="1285" ht="14.25" customHeight="1" s="54"/>
    <row r="1286" ht="14.25" customHeight="1" s="54"/>
    <row r="1287" ht="14.25" customHeight="1" s="54"/>
    <row r="1288" ht="14.25" customHeight="1" s="54"/>
    <row r="1289" ht="14.25" customHeight="1" s="54"/>
    <row r="1290" ht="14.25" customHeight="1" s="54"/>
    <row r="1291" ht="14.25" customHeight="1" s="54"/>
    <row r="1292" ht="14.25" customHeight="1" s="54"/>
    <row r="1293" ht="14.25" customHeight="1" s="54"/>
    <row r="1294" ht="14.25" customHeight="1" s="54"/>
    <row r="1295" ht="14.25" customHeight="1" s="54"/>
    <row r="1296" ht="14.25" customHeight="1" s="54"/>
    <row r="1297" ht="14.25" customHeight="1" s="54"/>
    <row r="1298" ht="14.25" customHeight="1" s="54"/>
    <row r="1299" ht="14.25" customHeight="1" s="54"/>
    <row r="1300" ht="14.25" customHeight="1" s="54"/>
    <row r="1301" ht="14.25" customHeight="1" s="54"/>
    <row r="1302" ht="14.25" customHeight="1" s="54"/>
    <row r="1303" ht="14.25" customHeight="1" s="54"/>
    <row r="1304" ht="14.25" customHeight="1" s="54"/>
    <row r="1305" ht="14.25" customHeight="1" s="54"/>
    <row r="1306" ht="14.25" customHeight="1" s="54"/>
    <row r="1307" ht="14.25" customHeight="1" s="54"/>
    <row r="1308" ht="14.25" customHeight="1" s="54"/>
    <row r="1309" ht="14.25" customHeight="1" s="54"/>
    <row r="1310" ht="14.25" customHeight="1" s="54"/>
    <row r="1311" ht="14.25" customHeight="1" s="54"/>
    <row r="1312" ht="14.25" customHeight="1" s="54"/>
    <row r="1313" ht="14.25" customHeight="1" s="54"/>
    <row r="1314" ht="14.25" customHeight="1" s="54"/>
    <row r="1315" ht="14.25" customHeight="1" s="54"/>
    <row r="1316" ht="14.25" customHeight="1" s="54"/>
    <row r="1317" ht="14.25" customHeight="1" s="54"/>
    <row r="1318" ht="14.25" customHeight="1" s="54"/>
    <row r="1319" ht="14.25" customHeight="1" s="54"/>
    <row r="1320" ht="14.25" customHeight="1" s="54"/>
    <row r="1321" ht="14.25" customHeight="1" s="54"/>
    <row r="1322" ht="14.25" customHeight="1" s="54"/>
    <row r="1323" ht="14.25" customHeight="1" s="54"/>
    <row r="1324" ht="14.25" customHeight="1" s="54"/>
    <row r="1325" ht="14.25" customHeight="1" s="54"/>
    <row r="1326" ht="14.25" customHeight="1" s="54"/>
    <row r="1327" ht="14.25" customHeight="1" s="54"/>
    <row r="1328" ht="14.25" customHeight="1" s="54"/>
    <row r="1329" ht="14.25" customHeight="1" s="54"/>
    <row r="1330" ht="14.25" customHeight="1" s="54"/>
    <row r="1331" ht="14.25" customHeight="1" s="54"/>
    <row r="1332" ht="14.25" customHeight="1" s="54"/>
    <row r="1333" ht="14.25" customHeight="1" s="54"/>
    <row r="1334" ht="14.25" customHeight="1" s="54"/>
    <row r="1335" ht="14.25" customHeight="1" s="54"/>
    <row r="1336" ht="14.25" customHeight="1" s="54"/>
    <row r="1337" ht="14.25" customHeight="1" s="54"/>
    <row r="1338" ht="14.25" customHeight="1" s="54"/>
    <row r="1339" ht="14.25" customHeight="1" s="54"/>
    <row r="1340" ht="14.25" customHeight="1" s="54"/>
    <row r="1341" ht="14.25" customHeight="1" s="54"/>
    <row r="1342" ht="14.25" customHeight="1" s="54"/>
    <row r="1343" ht="14.25" customHeight="1" s="54"/>
    <row r="1344" ht="14.25" customHeight="1" s="54"/>
    <row r="1345" ht="14.25" customHeight="1" s="54"/>
    <row r="1346" ht="14.25" customHeight="1" s="54"/>
    <row r="1347" ht="14.25" customHeight="1" s="54"/>
    <row r="1348" ht="14.25" customHeight="1" s="54"/>
    <row r="1349" ht="14.25" customHeight="1" s="54"/>
    <row r="1350" ht="14.25" customHeight="1" s="54"/>
    <row r="1351" ht="14.25" customHeight="1" s="54"/>
    <row r="1352" ht="14.25" customHeight="1" s="54"/>
    <row r="1353" ht="14.25" customHeight="1" s="54"/>
    <row r="1354" ht="14.25" customHeight="1" s="54"/>
    <row r="1355" ht="14.25" customHeight="1" s="54"/>
    <row r="1356" ht="14.25" customHeight="1" s="54"/>
    <row r="1357" ht="14.25" customHeight="1" s="54"/>
    <row r="1358" ht="14.25" customHeight="1" s="54"/>
    <row r="1359" ht="14.25" customHeight="1" s="54"/>
    <row r="1360" ht="14.25" customHeight="1" s="54"/>
    <row r="1361" ht="14.25" customHeight="1" s="54"/>
    <row r="1362" ht="14.25" customHeight="1" s="54"/>
    <row r="1363" ht="14.25" customHeight="1" s="54"/>
    <row r="1364" ht="14.25" customHeight="1" s="54"/>
    <row r="1365" ht="14.25" customHeight="1" s="54"/>
    <row r="1366" ht="14.25" customHeight="1" s="54"/>
    <row r="1367" ht="14.25" customHeight="1" s="54"/>
    <row r="1368" ht="14.25" customHeight="1" s="54"/>
    <row r="1369" ht="14.25" customHeight="1" s="54"/>
    <row r="1370" ht="14.25" customHeight="1" s="54"/>
    <row r="1371" ht="14.25" customHeight="1" s="54"/>
    <row r="1372" ht="14.25" customHeight="1" s="54"/>
    <row r="1373" ht="14.25" customHeight="1" s="54"/>
    <row r="1374" ht="14.25" customHeight="1" s="54"/>
    <row r="1375" ht="14.25" customHeight="1" s="54"/>
    <row r="1376" ht="14.25" customHeight="1" s="54"/>
    <row r="1377" ht="14.25" customHeight="1" s="54"/>
    <row r="1378" ht="14.25" customHeight="1" s="54"/>
    <row r="1379" ht="14.25" customHeight="1" s="54"/>
    <row r="1380" ht="14.25" customHeight="1" s="54"/>
    <row r="1381" ht="14.25" customHeight="1" s="54"/>
    <row r="1382" ht="14.25" customHeight="1" s="54"/>
    <row r="1383" ht="14.25" customHeight="1" s="54"/>
    <row r="1384" ht="14.25" customHeight="1" s="54"/>
    <row r="1385" ht="14.25" customHeight="1" s="54"/>
    <row r="1386" ht="14.25" customHeight="1" s="54"/>
    <row r="1387" ht="14.25" customHeight="1" s="54"/>
    <row r="1388" ht="14.25" customHeight="1" s="54"/>
    <row r="1389" ht="14.25" customHeight="1" s="54"/>
    <row r="1390" ht="14.25" customHeight="1" s="54"/>
    <row r="1391" ht="14.25" customHeight="1" s="54"/>
    <row r="1392" ht="14.25" customHeight="1" s="54"/>
    <row r="1393" ht="14.25" customHeight="1" s="54"/>
    <row r="1394" ht="14.25" customHeight="1" s="54"/>
    <row r="1395" ht="14.25" customHeight="1" s="54"/>
    <row r="1396" ht="14.25" customHeight="1" s="54"/>
    <row r="1397" ht="14.25" customHeight="1" s="54"/>
    <row r="1398" ht="14.25" customHeight="1" s="54"/>
    <row r="1399" ht="14.25" customHeight="1" s="54"/>
    <row r="1400" ht="14.25" customHeight="1" s="54"/>
    <row r="1401" ht="14.25" customHeight="1" s="54"/>
    <row r="1402" ht="14.25" customHeight="1" s="54"/>
    <row r="1403" ht="14.25" customHeight="1" s="54"/>
    <row r="1404" ht="14.25" customHeight="1" s="54"/>
    <row r="1405" ht="14.25" customHeight="1" s="54"/>
    <row r="1406" ht="14.25" customHeight="1" s="54"/>
    <row r="1407" ht="14.25" customHeight="1" s="54"/>
    <row r="1408" ht="14.25" customHeight="1" s="54"/>
    <row r="1409" ht="14.25" customHeight="1" s="54"/>
    <row r="1410" ht="14.25" customHeight="1" s="54"/>
    <row r="1411" ht="14.25" customHeight="1" s="54"/>
    <row r="1412" ht="14.25" customHeight="1" s="54"/>
    <row r="1413" ht="14.25" customHeight="1" s="54"/>
    <row r="1414" ht="14.25" customHeight="1" s="54"/>
    <row r="1415" ht="14.25" customHeight="1" s="54"/>
    <row r="1416" ht="14.25" customHeight="1" s="54"/>
    <row r="1417" ht="14.25" customHeight="1" s="54"/>
    <row r="1418" ht="14.25" customHeight="1" s="54"/>
    <row r="1419" ht="14.25" customHeight="1" s="54"/>
    <row r="1420" ht="14.25" customHeight="1" s="54"/>
    <row r="1421" ht="14.25" customHeight="1" s="54"/>
    <row r="1422" ht="14.25" customHeight="1" s="54"/>
    <row r="1423" ht="14.25" customHeight="1" s="54"/>
    <row r="1424" ht="14.25" customHeight="1" s="54"/>
    <row r="1425" ht="14.25" customHeight="1" s="54"/>
    <row r="1426" ht="14.25" customHeight="1" s="54"/>
    <row r="1427" ht="14.25" customHeight="1" s="54"/>
    <row r="1428" ht="14.25" customHeight="1" s="54"/>
    <row r="1429" ht="14.25" customHeight="1" s="54"/>
    <row r="1430" ht="14.25" customHeight="1" s="54"/>
    <row r="1431" ht="14.25" customHeight="1" s="54"/>
    <row r="1432" ht="14.25" customHeight="1" s="54"/>
    <row r="1433" ht="14.25" customHeight="1" s="54"/>
    <row r="1434" ht="14.25" customHeight="1" s="54"/>
    <row r="1435" ht="14.25" customHeight="1" s="54"/>
    <row r="1436" ht="14.25" customHeight="1" s="54"/>
    <row r="1437" ht="14.25" customHeight="1" s="54"/>
    <row r="1438" ht="14.25" customHeight="1" s="54"/>
    <row r="1439" ht="14.25" customHeight="1" s="54"/>
    <row r="1440" ht="14.25" customHeight="1" s="54"/>
    <row r="1441" ht="14.25" customHeight="1" s="54"/>
    <row r="1442" ht="14.25" customHeight="1" s="54"/>
    <row r="1443" ht="14.25" customHeight="1" s="54"/>
    <row r="1444" ht="14.25" customHeight="1" s="54"/>
    <row r="1445" ht="14.25" customHeight="1" s="54"/>
    <row r="1446" ht="14.25" customHeight="1" s="54"/>
    <row r="1447" ht="14.25" customHeight="1" s="54"/>
    <row r="1448" ht="14.25" customHeight="1" s="54"/>
    <row r="1449" ht="14.25" customHeight="1" s="54"/>
    <row r="1450" ht="14.25" customHeight="1" s="54"/>
    <row r="1451" ht="14.25" customHeight="1" s="54"/>
    <row r="1452" ht="14.25" customHeight="1" s="54"/>
    <row r="1453" ht="14.25" customHeight="1" s="54"/>
    <row r="1454" ht="14.25" customHeight="1" s="54"/>
    <row r="1455" ht="14.25" customHeight="1" s="54"/>
    <row r="1456" ht="14.25" customHeight="1" s="54"/>
    <row r="1457" ht="14.25" customHeight="1" s="54"/>
    <row r="1458" ht="14.25" customHeight="1" s="54"/>
    <row r="1459" ht="14.25" customHeight="1" s="54"/>
    <row r="1460" ht="14.25" customHeight="1" s="54"/>
    <row r="1461" ht="14.25" customHeight="1" s="54"/>
    <row r="1462" ht="14.25" customHeight="1" s="54"/>
    <row r="1463" ht="14.25" customHeight="1" s="54"/>
    <row r="1464" ht="14.25" customHeight="1" s="54"/>
    <row r="1465" ht="14.25" customHeight="1" s="54"/>
    <row r="1466" ht="14.25" customHeight="1" s="54"/>
    <row r="1467" ht="14.25" customHeight="1" s="54"/>
    <row r="1468" ht="14.25" customHeight="1" s="54"/>
    <row r="1469" ht="14.25" customHeight="1" s="54"/>
    <row r="1470" ht="14.25" customHeight="1" s="54"/>
    <row r="1471" ht="14.25" customHeight="1" s="54"/>
    <row r="1472" ht="14.25" customHeight="1" s="54"/>
    <row r="1473" ht="14.25" customHeight="1" s="54"/>
    <row r="1474" ht="14.25" customHeight="1" s="54"/>
    <row r="1475" ht="14.25" customHeight="1" s="54"/>
    <row r="1476" ht="14.25" customHeight="1" s="54"/>
    <row r="1477" ht="14.25" customHeight="1" s="54"/>
    <row r="1478" ht="14.25" customHeight="1" s="54"/>
    <row r="1479" ht="14.25" customHeight="1" s="54"/>
    <row r="1480" ht="14.25" customHeight="1" s="54"/>
    <row r="1481" ht="14.25" customHeight="1" s="54"/>
    <row r="1482" ht="14.25" customHeight="1" s="54"/>
    <row r="1483" ht="14.25" customHeight="1" s="54"/>
    <row r="1484" ht="14.25" customHeight="1" s="54"/>
    <row r="1485" ht="14.25" customHeight="1" s="54"/>
    <row r="1486" ht="14.25" customHeight="1" s="54"/>
    <row r="1487" ht="14.25" customHeight="1" s="54"/>
    <row r="1488" ht="14.25" customHeight="1" s="54"/>
    <row r="1489" ht="14.25" customHeight="1" s="54"/>
    <row r="1490" ht="14.25" customHeight="1" s="54"/>
    <row r="1491" ht="14.25" customHeight="1" s="54"/>
    <row r="1492" ht="14.25" customHeight="1" s="54"/>
    <row r="1493" ht="14.25" customHeight="1" s="54"/>
    <row r="1494" ht="14.25" customHeight="1" s="54"/>
    <row r="1495" ht="14.25" customHeight="1" s="54"/>
    <row r="1496" ht="14.25" customHeight="1" s="54"/>
    <row r="1497" ht="14.25" customHeight="1" s="54"/>
    <row r="1498" ht="14.25" customHeight="1" s="54"/>
    <row r="1499" ht="14.25" customHeight="1" s="54"/>
    <row r="1500" ht="14.25" customHeight="1" s="54"/>
    <row r="1501" ht="14.25" customHeight="1" s="54"/>
    <row r="1502" ht="14.25" customHeight="1" s="54"/>
    <row r="1503" ht="14.25" customHeight="1" s="54"/>
    <row r="1504" ht="14.25" customHeight="1" s="54"/>
    <row r="1505" ht="14.25" customHeight="1" s="54"/>
    <row r="1506" ht="14.25" customHeight="1" s="54"/>
    <row r="1507" ht="14.25" customHeight="1" s="54"/>
    <row r="1508" ht="14.25" customHeight="1" s="54"/>
    <row r="1509" ht="14.25" customHeight="1" s="54"/>
    <row r="1510" ht="14.25" customHeight="1" s="54"/>
    <row r="1511" ht="14.25" customHeight="1" s="54"/>
    <row r="1512" ht="14.25" customHeight="1" s="54"/>
    <row r="1513" ht="14.25" customHeight="1" s="54"/>
    <row r="1514" ht="14.25" customHeight="1" s="54"/>
    <row r="1515" ht="14.25" customHeight="1" s="54"/>
    <row r="1516" ht="14.25" customHeight="1" s="54"/>
    <row r="1517" ht="14.25" customHeight="1" s="54"/>
    <row r="1518" ht="14.25" customHeight="1" s="54"/>
    <row r="1519" ht="14.25" customHeight="1" s="54"/>
    <row r="1520" ht="14.25" customHeight="1" s="54"/>
    <row r="1521" ht="14.25" customHeight="1" s="54"/>
    <row r="1522" ht="14.25" customHeight="1" s="54"/>
    <row r="1523" ht="14.25" customHeight="1" s="54"/>
    <row r="1524" ht="14.25" customHeight="1" s="54"/>
    <row r="1525" ht="14.25" customHeight="1" s="54"/>
    <row r="1526" ht="14.25" customHeight="1" s="54"/>
    <row r="1527" ht="14.25" customHeight="1" s="54"/>
    <row r="1528" ht="14.25" customHeight="1" s="54"/>
    <row r="1529" ht="14.25" customHeight="1" s="54"/>
    <row r="1530" ht="14.25" customHeight="1" s="54"/>
    <row r="1531" ht="14.25" customHeight="1" s="54"/>
    <row r="1532" ht="14.25" customHeight="1" s="54"/>
    <row r="1533" ht="14.25" customHeight="1" s="54"/>
    <row r="1534" ht="14.25" customHeight="1" s="54"/>
    <row r="1535" ht="14.25" customHeight="1" s="54"/>
    <row r="1536" ht="14.25" customHeight="1" s="54"/>
    <row r="1537" ht="14.25" customHeight="1" s="54"/>
    <row r="1538" ht="14.25" customHeight="1" s="54"/>
    <row r="1539" ht="14.25" customHeight="1" s="54"/>
    <row r="1540" ht="14.25" customHeight="1" s="54"/>
    <row r="1541" ht="14.25" customHeight="1" s="54"/>
    <row r="1542" ht="14.25" customHeight="1" s="54"/>
    <row r="1543" ht="14.25" customHeight="1" s="54"/>
    <row r="1544" ht="14.25" customHeight="1" s="54"/>
    <row r="1545" ht="14.25" customHeight="1" s="54"/>
    <row r="1546" ht="14.25" customHeight="1" s="54"/>
    <row r="1547" ht="14.25" customHeight="1" s="54"/>
    <row r="1548" ht="14.25" customHeight="1" s="54"/>
    <row r="1549" ht="14.25" customHeight="1" s="54"/>
    <row r="1550" ht="14.25" customHeight="1" s="54"/>
    <row r="1551" ht="14.25" customHeight="1" s="54"/>
    <row r="1552" ht="14.25" customHeight="1" s="54"/>
    <row r="1553" ht="14.25" customHeight="1" s="54"/>
    <row r="1554" ht="14.25" customHeight="1" s="54"/>
    <row r="1555" ht="14.25" customHeight="1" s="54"/>
    <row r="1556" ht="14.25" customHeight="1" s="54"/>
    <row r="1557" ht="14.25" customHeight="1" s="54"/>
    <row r="1558" ht="14.25" customHeight="1" s="54"/>
    <row r="1559" ht="14.25" customHeight="1" s="54"/>
    <row r="1560" ht="14.25" customHeight="1" s="54"/>
    <row r="1561" ht="14.25" customHeight="1" s="54"/>
    <row r="1562" ht="14.25" customHeight="1" s="54"/>
    <row r="1563" ht="14.25" customHeight="1" s="54"/>
    <row r="1564" ht="14.25" customHeight="1" s="54"/>
    <row r="1565" ht="14.25" customHeight="1" s="54"/>
    <row r="1566" ht="14.25" customHeight="1" s="54"/>
    <row r="1567" ht="14.25" customHeight="1" s="54"/>
    <row r="1568" ht="14.25" customHeight="1" s="54"/>
    <row r="1569" ht="14.25" customHeight="1" s="54"/>
    <row r="1570" ht="14.25" customHeight="1" s="54"/>
    <row r="1571" ht="14.25" customHeight="1" s="54"/>
    <row r="1572" ht="14.25" customHeight="1" s="54"/>
    <row r="1573" ht="14.25" customHeight="1" s="54"/>
    <row r="1574" ht="14.25" customHeight="1" s="54"/>
    <row r="1575" ht="14.25" customHeight="1" s="54"/>
    <row r="1576" ht="14.25" customHeight="1" s="54"/>
    <row r="1577" ht="14.25" customHeight="1" s="54"/>
    <row r="1578" ht="14.25" customHeight="1" s="54"/>
    <row r="1579" ht="14.25" customHeight="1" s="54"/>
    <row r="1580" ht="14.25" customHeight="1" s="54"/>
    <row r="1581" ht="14.25" customHeight="1" s="54"/>
    <row r="1582" ht="14.25" customHeight="1" s="54"/>
    <row r="1583" ht="14.25" customHeight="1" s="54"/>
    <row r="1584" ht="14.25" customHeight="1" s="54"/>
    <row r="1585" ht="14.25" customHeight="1" s="54"/>
    <row r="1586" ht="14.25" customHeight="1" s="54"/>
    <row r="1587" ht="14.25" customHeight="1" s="54"/>
    <row r="1588" ht="14.25" customHeight="1" s="54"/>
    <row r="1589" ht="14.25" customHeight="1" s="54"/>
    <row r="1590" ht="14.25" customHeight="1" s="54"/>
    <row r="1591" ht="14.25" customHeight="1" s="54"/>
    <row r="1592" ht="14.25" customHeight="1" s="54"/>
    <row r="1593" ht="14.25" customHeight="1" s="54"/>
    <row r="1594" ht="14.25" customHeight="1" s="54"/>
    <row r="1595" ht="14.25" customHeight="1" s="54"/>
    <row r="1596" ht="14.25" customHeight="1" s="54"/>
    <row r="1597" ht="14.25" customHeight="1" s="54"/>
    <row r="1598" ht="14.25" customHeight="1" s="54"/>
    <row r="1599" ht="14.25" customHeight="1" s="54"/>
    <row r="1600" ht="14.25" customHeight="1" s="54"/>
    <row r="1601" ht="14.25" customHeight="1" s="54"/>
    <row r="1602" ht="14.25" customHeight="1" s="54"/>
    <row r="1603" ht="14.25" customHeight="1" s="54"/>
    <row r="1604" ht="14.25" customHeight="1" s="54"/>
    <row r="1605" ht="14.25" customHeight="1" s="54"/>
    <row r="1606" ht="14.25" customHeight="1" s="54"/>
    <row r="1607" ht="14.25" customHeight="1" s="54"/>
    <row r="1608" ht="14.25" customHeight="1" s="54"/>
    <row r="1609" ht="14.25" customHeight="1" s="54"/>
    <row r="1610" ht="14.25" customHeight="1" s="54"/>
    <row r="1611" ht="14.25" customHeight="1" s="54"/>
    <row r="1612" ht="14.25" customHeight="1" s="54"/>
    <row r="1613" ht="14.25" customHeight="1" s="54"/>
    <row r="1614" ht="14.25" customHeight="1" s="54"/>
    <row r="1615" ht="14.25" customHeight="1" s="54"/>
    <row r="1616" ht="14.25" customHeight="1" s="54"/>
    <row r="1617" ht="14.25" customHeight="1" s="54"/>
    <row r="1618" ht="14.25" customHeight="1" s="54"/>
    <row r="1619" ht="14.25" customHeight="1" s="54"/>
    <row r="1620" ht="14.25" customHeight="1" s="54"/>
    <row r="1621" ht="14.25" customHeight="1" s="54"/>
    <row r="1622" ht="14.25" customHeight="1" s="54"/>
    <row r="1623" ht="14.25" customHeight="1" s="54"/>
    <row r="1624" ht="14.25" customHeight="1" s="54"/>
    <row r="1625" ht="14.25" customHeight="1" s="54"/>
    <row r="1626" ht="14.25" customHeight="1" s="54"/>
    <row r="1627" ht="14.25" customHeight="1" s="54"/>
    <row r="1628" ht="14.25" customHeight="1" s="54"/>
    <row r="1629" ht="14.25" customHeight="1" s="54"/>
    <row r="1630" ht="14.25" customHeight="1" s="54"/>
    <row r="1631" ht="14.25" customHeight="1" s="54"/>
    <row r="1632" ht="14.25" customHeight="1" s="54"/>
    <row r="1633" ht="14.25" customHeight="1" s="54"/>
    <row r="1634" ht="14.25" customHeight="1" s="54"/>
    <row r="1635" ht="14.25" customHeight="1" s="54"/>
    <row r="1636" ht="14.25" customHeight="1" s="54"/>
    <row r="1637" ht="14.25" customHeight="1" s="54"/>
    <row r="1638" ht="14.25" customHeight="1" s="54"/>
    <row r="1639" ht="14.25" customHeight="1" s="54"/>
    <row r="1640" ht="14.25" customHeight="1" s="54"/>
    <row r="1641" ht="14.25" customHeight="1" s="54"/>
    <row r="1642" ht="14.25" customHeight="1" s="54"/>
    <row r="1643" ht="14.25" customHeight="1" s="54"/>
    <row r="1644" ht="14.25" customHeight="1" s="54"/>
    <row r="1645" ht="14.25" customHeight="1" s="54"/>
    <row r="1646" ht="14.25" customHeight="1" s="54"/>
    <row r="1647" ht="14.25" customHeight="1" s="54"/>
    <row r="1648" ht="14.25" customHeight="1" s="54"/>
    <row r="1649" ht="14.25" customHeight="1" s="54"/>
    <row r="1650" ht="14.25" customHeight="1" s="54"/>
    <row r="1651" ht="14.25" customHeight="1" s="54"/>
    <row r="1652" ht="14.25" customHeight="1" s="54"/>
    <row r="1653" ht="14.25" customHeight="1" s="54"/>
    <row r="1654" ht="14.25" customHeight="1" s="54"/>
    <row r="1655" ht="14.25" customHeight="1" s="54"/>
    <row r="1656" ht="14.25" customHeight="1" s="54"/>
    <row r="1657" ht="14.25" customHeight="1" s="54"/>
    <row r="1658" ht="14.25" customHeight="1" s="54"/>
    <row r="1659" ht="14.25" customHeight="1" s="54"/>
    <row r="1660" ht="14.25" customHeight="1" s="54"/>
    <row r="1661" ht="14.25" customHeight="1" s="54"/>
    <row r="1662" ht="14.25" customHeight="1" s="54"/>
    <row r="1663" ht="14.25" customHeight="1" s="54"/>
    <row r="1664" ht="14.25" customHeight="1" s="54"/>
    <row r="1665" ht="14.25" customHeight="1" s="54"/>
    <row r="1666" ht="14.25" customHeight="1" s="54"/>
    <row r="1667" ht="14.25" customHeight="1" s="54"/>
    <row r="1668" ht="14.25" customHeight="1" s="54"/>
    <row r="1669" ht="14.25" customHeight="1" s="54"/>
    <row r="1670" ht="14.25" customHeight="1" s="54"/>
    <row r="1671" ht="14.25" customHeight="1" s="54"/>
    <row r="1672" ht="14.25" customHeight="1" s="54"/>
    <row r="1673" ht="14.25" customHeight="1" s="54"/>
    <row r="1674" ht="14.25" customHeight="1" s="54"/>
    <row r="1675" ht="14.25" customHeight="1" s="54"/>
    <row r="1676" ht="14.25" customHeight="1" s="54"/>
    <row r="1677" ht="14.25" customHeight="1" s="54"/>
    <row r="1678" ht="14.25" customHeight="1" s="54"/>
    <row r="1679" ht="14.25" customHeight="1" s="54"/>
    <row r="1680" ht="14.25" customHeight="1" s="54"/>
    <row r="1681" ht="14.25" customHeight="1" s="54"/>
    <row r="1682" ht="14.25" customHeight="1" s="54"/>
    <row r="1683" ht="14.25" customHeight="1" s="54"/>
    <row r="1684" ht="14.25" customHeight="1" s="54"/>
    <row r="1685" ht="14.25" customHeight="1" s="54"/>
    <row r="1686" ht="14.25" customHeight="1" s="54"/>
    <row r="1687" ht="14.25" customHeight="1" s="54"/>
    <row r="1688" ht="14.25" customHeight="1" s="54"/>
    <row r="1689" ht="14.25" customHeight="1" s="54"/>
    <row r="1690" ht="14.25" customHeight="1" s="54"/>
    <row r="1691" ht="14.25" customHeight="1" s="54"/>
    <row r="1692" ht="14.25" customHeight="1" s="54"/>
    <row r="1693" ht="14.25" customHeight="1" s="54"/>
    <row r="1694" ht="14.25" customHeight="1" s="5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4.25" zeroHeight="0" outlineLevelRow="0"/>
  <cols>
    <col width="20" customWidth="1" style="53" min="7" max="7"/>
    <col width="22" customWidth="1" style="53" min="8" max="8"/>
    <col width="70" customWidth="1" style="53" min="9" max="9"/>
  </cols>
  <sheetData>
    <row r="1" ht="14.25" customHeight="1" s="54">
      <c r="A1" s="83" t="inlineStr">
        <is>
          <t>Source File</t>
        </is>
      </c>
      <c r="B1" s="83" t="inlineStr">
        <is>
          <t>Email</t>
        </is>
      </c>
      <c r="C1" s="83" t="inlineStr">
        <is>
          <t>Mapped Campaign (LeadChain)</t>
        </is>
      </c>
      <c r="D1" s="83" t="inlineStr">
        <is>
          <t>Mapped Ad Set (LeadChain)</t>
        </is>
      </c>
      <c r="E1" s="83" t="inlineStr">
        <is>
          <t>Mapped Ad (LeadChain)</t>
        </is>
      </c>
      <c r="F1" s="83" t="inlineStr">
        <is>
          <t>Date / Created Time</t>
        </is>
      </c>
      <c r="G1" s="83" t="inlineStr">
        <is>
          <t>Meeting Date (value)</t>
        </is>
      </c>
      <c r="H1" s="83" t="inlineStr">
        <is>
          <t>Lead Status (source)</t>
        </is>
      </c>
      <c r="I1" s="83" t="inlineStr">
        <is>
          <t>PARAMETERS</t>
        </is>
      </c>
    </row>
    <row r="2" ht="14.25" customHeight="1" s="54"/>
    <row r="3" ht="14.25" customHeight="1" s="54"/>
    <row r="4" ht="14.25" customHeight="1" s="54"/>
    <row r="5" ht="14.25" customHeight="1" s="54"/>
    <row r="6" ht="14.25" customHeight="1" s="54"/>
    <row r="7" ht="14.25" customHeight="1" s="54"/>
    <row r="8" ht="14.25" customHeight="1" s="54"/>
    <row r="9" ht="14.25" customHeight="1" s="54"/>
    <row r="10" ht="14.25" customHeight="1" s="54"/>
    <row r="11" ht="14.25" customHeight="1" s="54"/>
    <row r="12" ht="14.25" customHeight="1" s="54"/>
    <row r="13" ht="14.25" customHeight="1" s="54"/>
    <row r="14" ht="14.25" customHeight="1" s="54"/>
    <row r="15" ht="14.25" customHeight="1" s="54"/>
    <row r="16" ht="14.25" customHeight="1" s="54"/>
    <row r="17" ht="14.25" customHeight="1" s="54"/>
    <row r="18" ht="14.25" customHeight="1" s="54"/>
    <row r="19" ht="14.25" customHeight="1" s="54"/>
    <row r="20" ht="14.25" customHeight="1" s="54"/>
    <row r="21" ht="14.25" customHeight="1" s="54"/>
    <row r="22" ht="14.25" customHeight="1" s="54"/>
    <row r="23" ht="14.25" customHeight="1" s="54"/>
    <row r="24" ht="14.25" customHeight="1" s="54"/>
    <row r="25" ht="14.25" customHeight="1" s="54"/>
    <row r="26" ht="14.25" customHeight="1" s="54"/>
    <row r="27" ht="14.25" customHeight="1" s="54"/>
    <row r="28" ht="14.25" customHeight="1" s="54"/>
    <row r="29" ht="14.25" customHeight="1" s="54"/>
    <row r="30" ht="14.25" customHeight="1" s="54"/>
    <row r="31" ht="14.25" customHeight="1" s="54"/>
    <row r="32" ht="14.25" customHeight="1" s="54"/>
    <row r="33" ht="14.25" customHeight="1" s="54"/>
    <row r="34" ht="14.25" customHeight="1" s="54"/>
    <row r="35" ht="14.25" customHeight="1" s="54"/>
    <row r="36" ht="14.25" customHeight="1" s="54"/>
    <row r="37" ht="14.25" customHeight="1" s="54"/>
    <row r="38" ht="14.25" customHeight="1" s="54"/>
    <row r="39" ht="14.25" customHeight="1" s="54"/>
    <row r="40" ht="14.25" customHeight="1" s="54"/>
    <row r="41" ht="14.25" customHeight="1" s="54"/>
    <row r="42" ht="14.25" customHeight="1" s="54"/>
    <row r="43" ht="14.25" customHeight="1" s="54"/>
    <row r="44" ht="14.25" customHeight="1" s="54"/>
    <row r="45" ht="14.25" customHeight="1" s="54"/>
    <row r="46" ht="14.25" customHeight="1" s="54"/>
    <row r="47" ht="14.25" customHeight="1" s="54"/>
    <row r="48" ht="14.25" customHeight="1" s="54"/>
    <row r="49" ht="14.25" customHeight="1" s="54"/>
    <row r="50" ht="14.25" customHeight="1" s="54"/>
    <row r="51" ht="14.25" customHeight="1" s="54"/>
    <row r="52" ht="14.25" customHeight="1" s="54"/>
    <row r="53" ht="14.25" customHeight="1" s="54"/>
    <row r="54" ht="14.25" customHeight="1" s="54"/>
    <row r="55" ht="14.25" customHeight="1" s="54"/>
    <row r="56" ht="14.25" customHeight="1" s="54"/>
    <row r="57" ht="14.25" customHeight="1" s="54"/>
    <row r="58" ht="14.25" customHeight="1" s="54"/>
    <row r="59" ht="14.25" customHeight="1" s="54"/>
    <row r="60" ht="14.25" customHeight="1" s="54"/>
    <row r="61" ht="14.25" customHeight="1" s="54"/>
    <row r="62" ht="14.25" customHeight="1" s="54"/>
    <row r="63" ht="14.25" customHeight="1" s="54"/>
    <row r="64" ht="14.25" customHeight="1" s="54"/>
    <row r="65" ht="14.25" customHeight="1" s="54"/>
    <row r="66" ht="14.25" customHeight="1" s="54"/>
    <row r="67" ht="14.25" customHeight="1" s="54"/>
    <row r="68" ht="14.25" customHeight="1" s="54"/>
    <row r="69" ht="14.25" customHeight="1" s="54"/>
    <row r="70" ht="14.25" customHeight="1" s="54"/>
    <row r="71" ht="14.25" customHeight="1" s="54"/>
    <row r="72" ht="14.25" customHeight="1" s="54"/>
    <row r="73" ht="14.25" customHeight="1" s="54"/>
    <row r="74" ht="14.25" customHeight="1" s="54"/>
    <row r="75" ht="14.25" customHeight="1" s="54"/>
    <row r="76" ht="14.25" customHeight="1" s="54"/>
    <row r="77" ht="14.25" customHeight="1" s="54"/>
    <row r="78" ht="14.25" customHeight="1" s="54"/>
    <row r="79" ht="14.25" customHeight="1" s="54"/>
    <row r="80" ht="14.25" customHeight="1" s="54"/>
    <row r="81" ht="14.25" customHeight="1" s="54"/>
    <row r="82" ht="14.25" customHeight="1" s="54"/>
    <row r="83" ht="14.25" customHeight="1" s="54"/>
    <row r="84" ht="14.25" customHeight="1" s="54"/>
    <row r="85" ht="14.25" customHeight="1" s="54"/>
    <row r="86" ht="14.25" customHeight="1" s="54"/>
    <row r="87" ht="14.25" customHeight="1" s="54"/>
    <row r="88" ht="14.25" customHeight="1" s="54"/>
    <row r="89" ht="14.25" customHeight="1" s="54"/>
    <row r="90" ht="14.25" customHeight="1" s="54"/>
    <row r="91" ht="14.25" customHeight="1" s="54"/>
    <row r="92" ht="14.25" customHeight="1" s="54"/>
    <row r="93" ht="14.25" customHeight="1" s="54"/>
    <row r="94" ht="14.25" customHeight="1" s="5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4.25" zeroHeight="0" outlineLevelRow="0"/>
  <sheetData>
    <row r="1" ht="14.25" customHeight="1" s="54">
      <c r="A1" s="83" t="inlineStr">
        <is>
          <t>Source File</t>
        </is>
      </c>
      <c r="B1" s="83" t="inlineStr">
        <is>
          <t>Email</t>
        </is>
      </c>
      <c r="C1" s="83" t="inlineStr">
        <is>
          <t>Date / Created Time</t>
        </is>
      </c>
      <c r="D1" s="83" t="inlineStr">
        <is>
          <t>Reason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4.25" zeroHeight="0" outlineLevelRow="0"/>
  <sheetData>
    <row r="1" ht="14.25" customHeight="1" s="54">
      <c r="A1" s="83" t="inlineStr">
        <is>
          <t>Name</t>
        </is>
      </c>
      <c r="B1" s="83" t="inlineStr">
        <is>
          <t>Email</t>
        </is>
      </c>
      <c r="C1" s="83" t="inlineStr">
        <is>
          <t>Phone</t>
        </is>
      </c>
      <c r="D1" s="83" t="inlineStr">
        <is>
          <t>Mapped Campaign</t>
        </is>
      </c>
      <c r="E1" s="83" t="inlineStr">
        <is>
          <t>Mapped Ad Set</t>
        </is>
      </c>
      <c r="F1" s="83" t="inlineStr">
        <is>
          <t>Mapped Ad</t>
        </is>
      </c>
      <c r="G1" s="83" t="inlineStr">
        <is>
          <t>Created Time</t>
        </is>
      </c>
      <c r="H1" s="83" t="inlineStr">
        <is>
          <t>Team Head</t>
        </is>
      </c>
      <c r="I1" s="83" t="inlineStr">
        <is>
          <t>BDE</t>
        </is>
      </c>
      <c r="K1" s="53" t="inlineStr">
        <is>
          <t>NOTE: Not populated — no separate Meeting Conducted source this round. Under the reporting rule, Meeting Conducted and Meeting Follow-Up statuses are categorised as Meeting Scheduled (see Data_MeetingScheduled).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2026-08-12T05:27:46Z</dcterms:created>
  <dcterms:modified xmlns:dcterms="http://purl.org/dc/terms/" xmlns:xsi="http://www.w3.org/2001/XMLSchema-instance" xsi:type="dcterms:W3CDTF">2026-10-29T07:22:32Z</dcterms:modified>
  <cp:lastModifiedBy>Admin</cp:lastModifiedBy>
  <cp:revision>0</cp:revision>
</cp:coreProperties>
</file>