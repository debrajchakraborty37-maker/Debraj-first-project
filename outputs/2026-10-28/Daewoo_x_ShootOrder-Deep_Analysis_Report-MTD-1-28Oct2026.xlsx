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_Summary" sheetId="1" state="visible" r:id="rId3"/>
    <sheet name="Funnel_Campaign" sheetId="2" state="visible" r:id="rId4"/>
    <sheet name="Funnel_AdSet" sheetId="3" state="visible" r:id="rId5"/>
    <sheet name="Funnel_Ad" sheetId="4" state="visible" r:id="rId6"/>
    <sheet name="Lead_Quality" sheetId="5" state="visible" r:id="rId7"/>
    <sheet name="Trends" sheetId="6" state="visible" r:id="rId8"/>
    <sheet name="Budget_Scenarios" sheetId="7" state="visible" r:id="rId9"/>
    <sheet name="Action_Plan" sheetId="8" state="visible" r:id="rId10"/>
    <sheet name="Measurement_Framework" sheetId="9" state="visible" r:id="rId11"/>
    <sheet name="QA_Checks" sheetId="10" state="visible" r:id="rId12"/>
    <sheet name="Methodology_Caveat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<sst xmlns="http://schemas.openxmlformats.org/spreadsheetml/2006/main" count="680" uniqueCount="322">
  <si>
    <t xml:space="preserve">DAEWOO × SHOOTORDER — Deep Performance Analysis | MTD 1–28 Oct 2026</t>
  </si>
  <si>
    <t xml:space="preserve">Auto-generated from your daily Campaign Performance Report. Figures in INR. Every rate in the detail tabs is a live formula.</t>
  </si>
  <si>
    <t xml:space="preserve">MTD spend</t>
  </si>
  <si>
    <t xml:space="preserve">CRM leads</t>
  </si>
  <si>
    <t xml:space="preserve">CPL</t>
  </si>
  <si>
    <t xml:space="preserve">Qualified leads</t>
  </si>
  <si>
    <t xml:space="preserve">Qualified %</t>
  </si>
  <si>
    <t xml:space="preserve">CPQL</t>
  </si>
  <si>
    <t xml:space="preserve">Meetings (mapped)</t>
  </si>
  <si>
    <t xml:space="preserve">Lead→Meeting %</t>
  </si>
  <si>
    <t xml:space="preserve">Cost per Meeting</t>
  </si>
  <si>
    <t xml:space="preserve">THE FUNNEL IN ONE LINE</t>
  </si>
  <si>
    <t xml:space="preserve">₹1,215,764 spend → 1,693 CRM leads (CPL ₹718) → 417 qualified (24.6%, CPQL ₹2,916) → 92 meetings (5.4% of leads) → ₹13,215 per meeting. Won/revenue is not in the data, so ROAS cannot be measured.</t>
  </si>
  <si>
    <t xml:space="preserve">KEY FINDINGS</t>
  </si>
  <si>
    <t xml:space="preserve">CPL is the wrong yardstick — cost per meeting is the real one.</t>
  </si>
  <si>
    <t xml:space="preserve">'META_CustomData_MOFU_STOCKIST_Leadgen' costs ₹996 per lead vs ₹557 for 'Andromeda_CBO_Signature Store_FICO_Daewoo_SO', but qualifies 37.1% vs 20.1% and converts 32.5% of qualified leads to meetings vs 12.8%. Cost per meeting: ₹8,262 vs ₹21,705.</t>
  </si>
  <si>
    <t xml:space="preserve">Spend and results are mismatched.</t>
  </si>
  <si>
    <t xml:space="preserve">'Andromeda_CBO_Signature Store_FICO_Daewoo_SO' takes 55.3% of spend and delivers 33.7% of meetings. 'META_CustomData_MOFU_STOCKIST_Leadgen' takes 27.9% of spend and delivers 44.6% of meetings.</t>
  </si>
  <si>
    <t xml:space="preserve">Lead quality fell across the month (mature leads only).</t>
  </si>
  <si>
    <t xml:space="preserve">Qualified %: 1–6 Oct: 36.1% → 7–12 Oct: 33.1% → 13–18 Oct: 27.7% → 19–25 Oct: 22.1%. Unreachable share moved from 27.7% to 52.9%. Daily lead volume averaged 33/day in the first week vs 97/day in the last mature week.</t>
  </si>
  <si>
    <t xml:space="preserve">Best-performing ad(s) to scale.</t>
  </si>
  <si>
    <t xml:space="preserve">'Stockist_Reel' in 'LAL_1%_Client Data_Stockist': 23 meetings at ₹8,323 each on ₹191,426 spend. Account average across ads is ₹14,826 per meeting.</t>
  </si>
  <si>
    <t xml:space="preserve">Largest drag among ads.</t>
  </si>
  <si>
    <t xml:space="preserve">'Signature_Store_160_Glass_SO' in 'HHI Pan India With Exclusions Signature Stores_FICO': ₹230,022 spent for 10 meeting(s) (₹23,002 each); 3 ad(s) are flagged REDUCE / fix on Funnel_Ad.</t>
  </si>
  <si>
    <t xml:space="preserve">Contactability is a leak.</t>
  </si>
  <si>
    <t xml:space="preserve">38.2% of leads are DNP / not reachable / invalid and 8.3% are junk, so 46.4% never become a real conversation; 16.6% are still open.</t>
  </si>
  <si>
    <t xml:space="preserve">Don't judge the last 2 days (12.0% qualified) yet.</t>
  </si>
  <si>
    <t xml:space="preserve">75.0% of leads from the last 2 days are still unworked in the CRM. Judge a cohort after ~3 days.</t>
  </si>
  <si>
    <t xml:space="preserve">Budget pacing: Andromeda_CBO_Signature Store_FICO_Daewoo_SO.</t>
  </si>
  <si>
    <t xml:space="preserve">Averaging ₹24,031/day vs ₹45,289 daily budget (53.1%). Under-delivering — raised recently or limited by audience/bid; confirm with a daily export.</t>
  </si>
  <si>
    <t xml:space="preserve">Zero-spend campaigns still delivered meetings.</t>
  </si>
  <si>
    <t xml:space="preserve">10 of 92 meetings (10.9%) came from campaigns with no spend this month — older leads converting, so cost per meeting is lagged and blended.</t>
  </si>
  <si>
    <t xml:space="preserve">TOP ACTIONS (full list in Action_Plan)</t>
  </si>
  <si>
    <t xml:space="preserve">Scale 'Stockist_Reel' in 'LAL_1%_Client Data_Stockist' by ~20% every 3 days; clone the creative into other ad sets.</t>
  </si>
  <si>
    <t xml:space="preserve">Pause or replace 'Signature_Store_160_Glass_SO' in 'HHI Pan India With Exclusions Signature Stores_FICO'; reallocate its budget to the scale list.</t>
  </si>
  <si>
    <t xml:space="preserve">Pause or replace 'Signature Store_SO' in 'HHI Pan India With Exclusions Signature Stores_FICO'; reallocate its budget to the scale list.</t>
  </si>
  <si>
    <t xml:space="preserve">Pause or replace 'Signature_Store_OCT_SO' in 'LAL_1%_Client Data_Signature Store FICO'; reallocate its budget to the scale list.</t>
  </si>
  <si>
    <t xml:space="preserve">Speed-to-lead SLA: first call within 15 min in working hours, 3 attempts across day-parts, WhatsApp follow-up on DNP.</t>
  </si>
  <si>
    <t xml:space="preserve">Add 1–2 qualifying questions to the instant form on the campaigns with the highest junk / unreachable share.</t>
  </si>
  <si>
    <t xml:space="preserve">Campaign-wise full-funnel scorecard — MTD 1–28 Oct 2026</t>
  </si>
  <si>
    <t xml:space="preserve">Spend/reach/clicks from Meta; leads, qualified, meetings from CRM via LeadChain. All rates are live formulas.</t>
  </si>
  <si>
    <t xml:space="preserve">Campaign</t>
  </si>
  <si>
    <t xml:space="preserve">Delivery</t>
  </si>
  <si>
    <t xml:space="preserve">Spend (₹)</t>
  </si>
  <si>
    <t xml:space="preserve">Impressions</t>
  </si>
  <si>
    <t xml:space="preserve">Reach</t>
  </si>
  <si>
    <t xml:space="preserve">Link clicks</t>
  </si>
  <si>
    <t xml:space="preserve">Qualified</t>
  </si>
  <si>
    <t xml:space="preserve">Meetings</t>
  </si>
  <si>
    <t xml:space="preserve">CPL (₹ per CRM lead)</t>
  </si>
  <si>
    <t xml:space="preserve">CPQL (₹)</t>
  </si>
  <si>
    <t xml:space="preserve">Qualified→Meeting %</t>
  </si>
  <si>
    <t xml:space="preserve">Cost per Meeting (₹)</t>
  </si>
  <si>
    <t xml:space="preserve">CTR</t>
  </si>
  <si>
    <t xml:space="preserve">CPC (₹)</t>
  </si>
  <si>
    <t xml:space="preserve">CPM (₹)</t>
  </si>
  <si>
    <t xml:space="preserve">Frequency</t>
  </si>
  <si>
    <t xml:space="preserve">% of spend</t>
  </si>
  <si>
    <t xml:space="preserve">% of meetings</t>
  </si>
  <si>
    <t xml:space="preserve">Efficiency index (acct cost/mtg ÷ row)</t>
  </si>
  <si>
    <t xml:space="preserve">Andromeda_CBO_Signature Store_FICO_Daewoo_SO</t>
  </si>
  <si>
    <t xml:space="preserve">active</t>
  </si>
  <si>
    <t xml:space="preserve">META_CustomData_MOFU_STOCKIST_Leadgen</t>
  </si>
  <si>
    <t xml:space="preserve">META_CustomData_MOFU_Leadgen – Signature FICO</t>
  </si>
  <si>
    <t xml:space="preserve">META_RMKT_Engage_ABO_SO</t>
  </si>
  <si>
    <t xml:space="preserve">META_RMKT_Socials Pages_CBO_SO</t>
  </si>
  <si>
    <t xml:space="preserve">Andromeda_ABO_Stockist_Daewoo_SO</t>
  </si>
  <si>
    <t xml:space="preserve">inactive</t>
  </si>
  <si>
    <t xml:space="preserve">CRM Custom List_CBO_SO</t>
  </si>
  <si>
    <t xml:space="preserve">TOTAL</t>
  </si>
  <si>
    <t xml:space="preserve">Is the best campaign really better than the weakest? (two-proportion z-test on Qualified %)</t>
  </si>
  <si>
    <t xml:space="preserve">Weakest: Andromeda_CBO_Signature Store_FICO_Daewoo_SO — qualified %</t>
  </si>
  <si>
    <t xml:space="preserve">Best: META_CustomData_MOFU_STOCKIST_Leadgen — qualified %</t>
  </si>
  <si>
    <t xml:space="preserve">Pooled %</t>
  </si>
  <si>
    <t xml:space="preserve">z-score</t>
  </si>
  <si>
    <t xml:space="preserve">Verdict</t>
  </si>
  <si>
    <t xml:space="preserve">Weakest qualified→meeting %</t>
  </si>
  <si>
    <t xml:space="preserve">Best qualified→meeting %</t>
  </si>
  <si>
    <t xml:space="preserve">Ad set-wise full-funnel scorecard — MTD 1–28 Oct 2026</t>
  </si>
  <si>
    <t xml:space="preserve">Frequency = impressions ÷ reach as reported by Meta for the period.</t>
  </si>
  <si>
    <t xml:space="preserve">Ad set</t>
  </si>
  <si>
    <t xml:space="preserve">Parent campaign</t>
  </si>
  <si>
    <t xml:space="preserve">HHI Pan India With Exclusions Signature Stores_FICO</t>
  </si>
  <si>
    <t xml:space="preserve">LAL_1%_Client Data_Stockist</t>
  </si>
  <si>
    <t xml:space="preserve">Business Interest Signature Stores_FICO</t>
  </si>
  <si>
    <t xml:space="preserve">LAL_1%_Client Data_Signature Store FICO</t>
  </si>
  <si>
    <t xml:space="preserve">Client Custom Data_Stockist</t>
  </si>
  <si>
    <t xml:space="preserve">Socials Pages_SO</t>
  </si>
  <si>
    <t xml:space="preserve">IG Page Engagements</t>
  </si>
  <si>
    <t xml:space="preserve">FB Page Engagements</t>
  </si>
  <si>
    <t xml:space="preserve">CRM_Engagements_Positive</t>
  </si>
  <si>
    <t xml:space="preserve">New Stockist Audience Owners</t>
  </si>
  <si>
    <t xml:space="preserve">not_delivering</t>
  </si>
  <si>
    <t xml:space="preserve">Qualified LAL All Models</t>
  </si>
  <si>
    <t xml:space="preserve">Ad-wise scorecard with verdicts — MTD 1–28 Oct 2026</t>
  </si>
  <si>
    <t xml:space="preserve">Each row is Ad set × Ad. Edit the blue thresholds to change verdicts.</t>
  </si>
  <si>
    <t xml:space="preserve">Min spend to judge an ad (₹)</t>
  </si>
  <si>
    <t xml:space="preserve">'Scale' if cost/meeting ≤ this × account average</t>
  </si>
  <si>
    <t xml:space="preserve">'Reduce/fix' if cost/meeting ≥ this × account average</t>
  </si>
  <si>
    <t xml:space="preserve">Min meetings to call 'Scale'</t>
  </si>
  <si>
    <t xml:space="preserve">Ad</t>
  </si>
  <si>
    <t xml:space="preserve">Qualified % — 95% low</t>
  </si>
  <si>
    <t xml:space="preserve">Qualified % — 95% high</t>
  </si>
  <si>
    <t xml:space="preserve">Sample confidence</t>
  </si>
  <si>
    <t xml:space="preserve">Meta Quality rank</t>
  </si>
  <si>
    <t xml:space="preserve">Meta Engagement rank</t>
  </si>
  <si>
    <t xml:space="preserve">Meta Conversion rank</t>
  </si>
  <si>
    <t xml:space="preserve">Signature_Store_160_Glass_SO</t>
  </si>
  <si>
    <t xml:space="preserve">-</t>
  </si>
  <si>
    <t xml:space="preserve">Stockist_Reel</t>
  </si>
  <si>
    <t xml:space="preserve">Above average</t>
  </si>
  <si>
    <t xml:space="preserve">Below average – bottom 10%</t>
  </si>
  <si>
    <t xml:space="preserve">Signature Store_SO</t>
  </si>
  <si>
    <t xml:space="preserve">Reel – V1_Signature_Store</t>
  </si>
  <si>
    <t xml:space="preserve">Stockist_IMG_3.5_Limited_All Large_SO</t>
  </si>
  <si>
    <t xml:space="preserve">Signature_Store_OCT_SO</t>
  </si>
  <si>
    <t xml:space="preserve">Reel – V1_Signature_Store_FICO</t>
  </si>
  <si>
    <t xml:space="preserve">Average</t>
  </si>
  <si>
    <t xml:space="preserve">Below average – bottom 20%</t>
  </si>
  <si>
    <t xml:space="preserve">Stockist Reel Engage</t>
  </si>
  <si>
    <t xml:space="preserve">Stockist_Building_July</t>
  </si>
  <si>
    <t xml:space="preserve">Reel – Ashish_Signature_Store</t>
  </si>
  <si>
    <t xml:space="preserve">58 Year Trust Stockist</t>
  </si>
  <si>
    <t xml:space="preserve">Stockist 33 Billion</t>
  </si>
  <si>
    <t xml:space="preserve">TOTAL (ads with spend)</t>
  </si>
  <si>
    <t xml:space="preserve">Lead quality &amp; contactability — why leads do or don't convert</t>
  </si>
  <si>
    <t xml:space="preserve">Qualified = CRM Qualified flag. Unreachable = DNP / Not Reachable / Invalid number.</t>
  </si>
  <si>
    <t xml:space="preserve">Leads</t>
  </si>
  <si>
    <t xml:space="preserve">Open / not yet worked</t>
  </si>
  <si>
    <t xml:space="preserve">Unreachable</t>
  </si>
  <si>
    <t xml:space="preserve">Junk</t>
  </si>
  <si>
    <t xml:space="preserve">Not interested / Lost</t>
  </si>
  <si>
    <t xml:space="preserve">Open %</t>
  </si>
  <si>
    <t xml:space="preserve">Unreachable %</t>
  </si>
  <si>
    <t xml:space="preserve">Junk %</t>
  </si>
  <si>
    <t xml:space="preserve">Not interested %</t>
  </si>
  <si>
    <t xml:space="preserve">Reachable-and-engaged %</t>
  </si>
  <si>
    <t xml:space="preserve">By ad set × ad</t>
  </si>
  <si>
    <t xml:space="preserve">Raw CRM status counts</t>
  </si>
  <si>
    <t xml:space="preserve">Lead status</t>
  </si>
  <si>
    <t xml:space="preserve">% of leads</t>
  </si>
  <si>
    <t xml:space="preserve">DNP</t>
  </si>
  <si>
    <t xml:space="preserve">Not Interested</t>
  </si>
  <si>
    <t xml:space="preserve">Junk Lead</t>
  </si>
  <si>
    <t xml:space="preserve">Call Back Requested</t>
  </si>
  <si>
    <t xml:space="preserve">Attempt 1</t>
  </si>
  <si>
    <t xml:space="preserve">Meeting Scheduled</t>
  </si>
  <si>
    <t xml:space="preserve">Not Reachable</t>
  </si>
  <si>
    <t xml:space="preserve">New Lead</t>
  </si>
  <si>
    <t xml:space="preserve">Interested</t>
  </si>
  <si>
    <t xml:space="preserve">Lost</t>
  </si>
  <si>
    <t xml:space="preserve">Details Shared</t>
  </si>
  <si>
    <t xml:space="preserve">Assigned</t>
  </si>
  <si>
    <t xml:space="preserve">Connected</t>
  </si>
  <si>
    <t xml:space="preserve">Attempt 2</t>
  </si>
  <si>
    <t xml:space="preserve">Invalid/Wrong Number</t>
  </si>
  <si>
    <t xml:space="preserve">Follow-Up</t>
  </si>
  <si>
    <t xml:space="preserve">Sales Priority</t>
  </si>
  <si>
    <t xml:space="preserve">Meeting Conducted</t>
  </si>
  <si>
    <t xml:space="preserve">Attempt 3</t>
  </si>
  <si>
    <t xml:space="preserve">Daily trend by lead-creation date — volume, quality and maturity</t>
  </si>
  <si>
    <t xml:space="preserve">'Open %' = leads sales has not worked yet; recent days look worse than they will end up.</t>
  </si>
  <si>
    <t xml:space="preserve">Lead date</t>
  </si>
  <si>
    <t xml:space="preserve">Open (not yet worked)</t>
  </si>
  <si>
    <t xml:space="preserve">7-day rolling leads (avg/day)</t>
  </si>
  <si>
    <t xml:space="preserve">7-day rolling qualified %</t>
  </si>
  <si>
    <t xml:space="preserve">Status of data</t>
  </si>
  <si>
    <t xml:space="preserve">Qualified rate by lead period — only leads up to day 25 (≥3 days old) so immature leads don't distort</t>
  </si>
  <si>
    <t xml:space="preserve">Period (lead date)</t>
  </si>
  <si>
    <t xml:space="preserve">1–6 Oct</t>
  </si>
  <si>
    <t xml:space="preserve">7–12 Oct</t>
  </si>
  <si>
    <t xml:space="preserve">13–18 Oct</t>
  </si>
  <si>
    <t xml:space="preserve">19–25 Oct</t>
  </si>
  <si>
    <t xml:space="preserve">Ad set mix shift — first half (days 1–12) vs second half (days 13–25), mature leads only</t>
  </si>
  <si>
    <t xml:space="preserve">Leads 1–12</t>
  </si>
  <si>
    <t xml:space="preserve">Qualified % 1–12</t>
  </si>
  <si>
    <t xml:space="preserve">Unreachable % 1–12</t>
  </si>
  <si>
    <t xml:space="preserve">Leads 13–25</t>
  </si>
  <si>
    <t xml:space="preserve">Qualified % 13–25</t>
  </si>
  <si>
    <t xml:space="preserve">Unreachable % 13–25</t>
  </si>
  <si>
    <t xml:space="preserve">ALL</t>
  </si>
  <si>
    <t xml:space="preserve">Budget pacing &amp; reallocation scenario</t>
  </si>
  <si>
    <t xml:space="preserve">Blue cells are inputs. Scenario uses MTD average efficiency — real marginal returns will be lower, hence the haircut.</t>
  </si>
  <si>
    <t xml:space="preserve">Daily budget in export (₹)</t>
  </si>
  <si>
    <t xml:space="preserve">MTD spend (₹)</t>
  </si>
  <si>
    <t xml:space="preserve">Avg spend/day (₹, ÷28)</t>
  </si>
  <si>
    <t xml:space="preserve">Budget utilisation</t>
  </si>
  <si>
    <t xml:space="preserve">Read-out</t>
  </si>
  <si>
    <t xml:space="preserve">ad set budget</t>
  </si>
  <si>
    <t xml:space="preserve">Scenario: move budget from 'Andromeda_CBO_Signature Store_FICO_Daewoo_SO' → 'META_CustomData_MOFU_STOCKIST_Leadgen' (MTD average efficiency, diminishing-returns haircut)</t>
  </si>
  <si>
    <t xml:space="preserve">Amount moved (₹, MTD-equivalent)</t>
  </si>
  <si>
    <t xml:space="preserve">Weakest: qualified per ₹</t>
  </si>
  <si>
    <t xml:space="preserve">Weakest: meetings per ₹</t>
  </si>
  <si>
    <t xml:space="preserve">Best: qualified per ₹</t>
  </si>
  <si>
    <t xml:space="preserve">Best: meetings per ₹</t>
  </si>
  <si>
    <t xml:space="preserve">Haircut on best campaign's efficiency</t>
  </si>
  <si>
    <t xml:space="preserve">Qualified lost (weakest)</t>
  </si>
  <si>
    <t xml:space="preserve">Meetings lost (weakest)</t>
  </si>
  <si>
    <t xml:space="preserve">Qualified gained (best)</t>
  </si>
  <si>
    <t xml:space="preserve">Meetings gained (best)</t>
  </si>
  <si>
    <t xml:space="preserve">Net change</t>
  </si>
  <si>
    <t xml:space="preserve">Break-even haircut — meetings</t>
  </si>
  <si>
    <t xml:space="preserve">Break-even haircut — qualified leads</t>
  </si>
  <si>
    <t xml:space="preserve">Directional only. Test a 10–15% shift for 7 days and measure real marginal cost before committing.</t>
  </si>
  <si>
    <t xml:space="preserve">Action plan — what to do, why, and how we will know it worked</t>
  </si>
  <si>
    <t xml:space="preserve">Rule-driven from today's data (ad verdicts, budget pacing) plus standing actions. Edit thresholds on Funnel_Ad.</t>
  </si>
  <si>
    <t xml:space="preserve">#</t>
  </si>
  <si>
    <t xml:space="preserve">Priority</t>
  </si>
  <si>
    <t xml:space="preserve">Action</t>
  </si>
  <si>
    <t xml:space="preserve">Evidence</t>
  </si>
  <si>
    <t xml:space="preserve">Success measure</t>
  </si>
  <si>
    <t xml:space="preserve">Review after</t>
  </si>
  <si>
    <t xml:space="preserve">P1</t>
  </si>
  <si>
    <t xml:space="preserve">23 meetings at ₹8,323 vs account ₹14,826; spend ₹191,426.</t>
  </si>
  <si>
    <t xml:space="preserve">Cost per meeting stays ≤ 1.2× current while spend grows</t>
  </si>
  <si>
    <t xml:space="preserve">7 days</t>
  </si>
  <si>
    <t xml:space="preserve">₹230,022 spent, 10 meeting(s) (₹23,002 each); account average ₹14,826.</t>
  </si>
  <si>
    <t xml:space="preserve">Replacement reaches account-average cost per meeting within 150 leads</t>
  </si>
  <si>
    <t xml:space="preserve">10 days</t>
  </si>
  <si>
    <t xml:space="preserve">₹174,808 spent, 4 meeting(s) (₹43,702 each); account average ₹14,826.</t>
  </si>
  <si>
    <t xml:space="preserve">₹51,378 spent, 2 meeting(s) (₹25,689 each); account average ₹14,826.</t>
  </si>
  <si>
    <t xml:space="preserve">38.2% of leads unreachable; 16.6% still open.</t>
  </si>
  <si>
    <t xml:space="preserve">Contact rate ≥ 70%; DNP after 3 attempts ≤ 25%</t>
  </si>
  <si>
    <t xml:space="preserve">14 days</t>
  </si>
  <si>
    <t xml:space="preserve">P2</t>
  </si>
  <si>
    <t xml:space="preserve">See Lead_Quality tab by campaign and ad set.</t>
  </si>
  <si>
    <t xml:space="preserve">Junk ≤ 5%; qualified % up on mature leads</t>
  </si>
  <si>
    <t xml:space="preserve">Add Won status, deal value, meeting date and BDE to the CRM export.</t>
  </si>
  <si>
    <t xml:space="preserve">Report ends at 'meeting scheduled'; revenue and lag cannot be measured.</t>
  </si>
  <si>
    <t xml:space="preserve">Cost per Won and ROAS reported weekly</t>
  </si>
  <si>
    <t xml:space="preserve">30 days</t>
  </si>
  <si>
    <t xml:space="preserve">Export Meta with a 'Day' breakdown (and age / region / placement weekly).</t>
  </si>
  <si>
    <t xml:space="preserve">Daily_Delta (from history) works only after 2+ days of snapshots; breakdowns are missing.</t>
  </si>
  <si>
    <t xml:space="preserve">Daily spend/CPL trend and region/age cuts available</t>
  </si>
  <si>
    <t xml:space="preserve">Next report</t>
  </si>
  <si>
    <t xml:space="preserve">P3</t>
  </si>
  <si>
    <t xml:space="preserve">Agree KPI targets and fill the blue cells on Measurement_Framework.</t>
  </si>
  <si>
    <t xml:space="preserve">No client-agreed targets in the data.</t>
  </si>
  <si>
    <t xml:space="preserve">All KPIs show On / Off target</t>
  </si>
  <si>
    <t xml:space="preserve">How to measure deeply — KPI tree, definitions and targets</t>
  </si>
  <si>
    <t xml:space="preserve">Level 1 = business outcome; Level 2 = funnel health; Level 3 = diagnostics. Targets come from config/targets.json (blue cells) — overwrite with client-agreed numbers.</t>
  </si>
  <si>
    <t xml:space="preserve">Level</t>
  </si>
  <si>
    <t xml:space="preserve">KPI</t>
  </si>
  <si>
    <t xml:space="preserve">Definition / formula</t>
  </si>
  <si>
    <t xml:space="preserve">Source today</t>
  </si>
  <si>
    <t xml:space="preserve">Current (MTD)</t>
  </si>
  <si>
    <t xml:space="preserve">Target</t>
  </si>
  <si>
    <t xml:space="preserve">Check frequency</t>
  </si>
  <si>
    <t xml:space="preserve">Status</t>
  </si>
  <si>
    <t xml:space="preserve">L1</t>
  </si>
  <si>
    <t xml:space="preserve">Cost per Won (CPW)</t>
  </si>
  <si>
    <t xml:space="preserve">Spend ÷ Won deals</t>
  </si>
  <si>
    <t xml:space="preserve">NOT AVAILABLE — need Won status</t>
  </si>
  <si>
    <t xml:space="preserve">Weekly</t>
  </si>
  <si>
    <t xml:space="preserve">ROAS</t>
  </si>
  <si>
    <t xml:space="preserve">Closed deal value ÷ Spend</t>
  </si>
  <si>
    <t xml:space="preserve">NOT AVAILABLE — need deal value</t>
  </si>
  <si>
    <t xml:space="preserve">Spend ÷ Meetings</t>
  </si>
  <si>
    <t xml:space="preserve">Meta + CRM</t>
  </si>
  <si>
    <t xml:space="preserve">Daily</t>
  </si>
  <si>
    <t xml:space="preserve">L2</t>
  </si>
  <si>
    <t xml:space="preserve">Spend ÷ Qualified leads</t>
  </si>
  <si>
    <t xml:space="preserve">Qualified % (mature leads)</t>
  </si>
  <si>
    <t xml:space="preserve">Qualified ÷ leads older than 3 days</t>
  </si>
  <si>
    <t xml:space="preserve">CRM</t>
  </si>
  <si>
    <t xml:space="preserve">Qualified → Meeting %</t>
  </si>
  <si>
    <t xml:space="preserve">Meetings ÷ Qualified</t>
  </si>
  <si>
    <t xml:space="preserve">Spend ÷ CRM leads</t>
  </si>
  <si>
    <t xml:space="preserve">L3</t>
  </si>
  <si>
    <t xml:space="preserve">Contact rate</t>
  </si>
  <si>
    <t xml:space="preserve">(Leads − DNP − Not reachable − Invalid) ÷ Leads</t>
  </si>
  <si>
    <t xml:space="preserve">Junk rate</t>
  </si>
  <si>
    <t xml:space="preserve">Junk ÷ Leads</t>
  </si>
  <si>
    <t xml:space="preserve">Speed to lead (min)</t>
  </si>
  <si>
    <t xml:space="preserve">First call time − lead time</t>
  </si>
  <si>
    <t xml:space="preserve">NOT AVAILABLE — need call log</t>
  </si>
  <si>
    <t xml:space="preserve">CTR (link)</t>
  </si>
  <si>
    <t xml:space="preserve">Link clicks ÷ Impressions</t>
  </si>
  <si>
    <t xml:space="preserve">Meta</t>
  </si>
  <si>
    <t xml:space="preserve">Click → Lead %</t>
  </si>
  <si>
    <t xml:space="preserve">CRM leads ÷ Link clicks</t>
  </si>
  <si>
    <t xml:space="preserve">Meeting lag (days)</t>
  </si>
  <si>
    <t xml:space="preserve">Meeting date − Lead date</t>
  </si>
  <si>
    <t xml:space="preserve">NOT AVAILABLE — meeting date missing</t>
  </si>
  <si>
    <t xml:space="preserve">Automatic QA checks run on the input report</t>
  </si>
  <si>
    <t xml:space="preserve">Any FAIL means do not send this report until the source file is fixed.</t>
  </si>
  <si>
    <t xml:space="preserve">Check</t>
  </si>
  <si>
    <t xml:space="preserve">Result</t>
  </si>
  <si>
    <t xml:space="preserve">Detail</t>
  </si>
  <si>
    <t xml:space="preserve">Spend reconciles: campaign = ad set = ad (±₹1)</t>
  </si>
  <si>
    <t xml:space="preserve">PASS</t>
  </si>
  <si>
    <t xml:space="preserve">1,215,764.27 / 1,215,764.27 / 1,215,764.27</t>
  </si>
  <si>
    <t xml:space="preserve">CRM leads: campaign table = Data_CRM rows</t>
  </si>
  <si>
    <t xml:space="preserve">1693 vs 1693</t>
  </si>
  <si>
    <t xml:space="preserve">CRM leads: ad table = Data_CRM rows</t>
  </si>
  <si>
    <t xml:space="preserve">Qualified: campaign table = CRM flag</t>
  </si>
  <si>
    <t xml:space="preserve">417 vs 417</t>
  </si>
  <si>
    <t xml:space="preserve">No duplicate Social Lead IDs</t>
  </si>
  <si>
    <t xml:space="preserve">0 duplicates</t>
  </si>
  <si>
    <t xml:space="preserve">No unmapped leads</t>
  </si>
  <si>
    <t xml:space="preserve">0 unmapped</t>
  </si>
  <si>
    <t xml:space="preserve">Meetings: campaign table &gt;= ad table</t>
  </si>
  <si>
    <t xml:space="preserve">92 vs 91</t>
  </si>
  <si>
    <t xml:space="preserve">Methodology, definitions and caveats</t>
  </si>
  <si>
    <t xml:space="preserve">Source</t>
  </si>
  <si>
    <t xml:space="preserve">All numbers come from your daily 'Campaign Report' workbook (Meta exports + CRM mapped via LeadChain). Nothing is re-sourced.</t>
  </si>
  <si>
    <t xml:space="preserve">CRM Qualified flag (statuses Qualified, Interested, Details Shared, Negotiation, Token Received, Won, Follow-Up, Meeting Scheduled/Conducted/Follow-Up).</t>
  </si>
  <si>
    <t xml:space="preserve">Lead-quality groups</t>
  </si>
  <si>
    <t xml:space="preserve">Qualified • Open/not yet worked • Unreachable (DNP, Not Reachable, Invalid) • Junk • Not interested/Lost.</t>
  </si>
  <si>
    <t xml:space="preserve">Counted by CRM date; can come from older leads (MeetingDetails), so cost per meeting is a blended, lagged number. Ad-level total can be lower than campaign-level (zero-spend campaigns, unmapped ads).</t>
  </si>
  <si>
    <t xml:space="preserve">Maturity</t>
  </si>
  <si>
    <t xml:space="preserve">CRM statuses take ~3 days to settle. 'Mature' = lead ≥3 days old. Use cohorts, not raw latest-day rates.</t>
  </si>
  <si>
    <t xml:space="preserve">Daily spend</t>
  </si>
  <si>
    <t xml:space="preserve">Meta exports are cumulative. Daily spend/CTR/CPL appear on Daily_Delta once two consecutive days of snapshots exist in history/daily_snapshot.csv.</t>
  </si>
  <si>
    <t xml:space="preserve">Small samples</t>
  </si>
  <si>
    <t xml:space="preserve">Ads with &lt;40 leads are 'Low' confidence; &lt;₹25,000 spend are 'Too early'. 95% intervals use the Wilson method.</t>
  </si>
  <si>
    <t xml:space="preserve">Meta rankings</t>
  </si>
  <si>
    <t xml:space="preserve">Quality / Engagement / Conversion rankings are Meta's relative scores and often do not predict CRM outcomes.</t>
  </si>
  <si>
    <t xml:space="preserve">Scenario model</t>
  </si>
  <si>
    <t xml:space="preserve">Reallocation uses MTD average efficiency per ₹ with a user-set haircut. Directional, not a forecast.</t>
  </si>
  <si>
    <t xml:space="preserve">Not in data</t>
  </si>
  <si>
    <t xml:space="preserve">Won status, deal value, revenue, call attempts, speed to lead, BDE, region, age, placement.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</si>
</sst>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₹#,##0"/>
    <numFmt numFmtId="166" formatCode="#,##0"/>
    <numFmt numFmtId="167" formatCode="0.0%"/>
    <numFmt numFmtId="168" formatCode="0.00%"/>
    <numFmt numFmtId="169" formatCode="0.00"/>
    <numFmt numFmtId="170" formatCode="dd\-mmm"/>
    <numFmt numFmtId="171" formatCode="0.0"/>
    <numFmt numFmtId="172" formatCode="0%"/>
    <numFmt numFmtId="173" formatCode="0.000000"/>
    <numFmt numFmtId="174" formatCode="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4F7"/>
        <bgColor rgb="FFE8ECF1"/>
      </patternFill>
    </fill>
    <fill>
      <patternFill patternType="solid">
        <fgColor rgb="FFE8ECF1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2F4F7"/>
      <rgbColor rgb="FFE8ECF1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66708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CRM leads and qualified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Trends!B4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Trends!$A$5:$A$32</c:f>
              <c:strCache>
                <c:ptCount val="28"/>
                <c:pt idx="0">
                  <c:v>01-Oct</c:v>
                </c:pt>
                <c:pt idx="1">
                  <c:v>02-Oct</c:v>
                </c:pt>
                <c:pt idx="2">
                  <c:v>03-Oct</c:v>
                </c:pt>
                <c:pt idx="3">
                  <c:v>04-Oct</c:v>
                </c:pt>
                <c:pt idx="4">
                  <c:v>05-Oct</c:v>
                </c:pt>
                <c:pt idx="5">
                  <c:v>06-Oct</c:v>
                </c:pt>
                <c:pt idx="6">
                  <c:v>07-Oct</c:v>
                </c:pt>
                <c:pt idx="7">
                  <c:v>08-Oct</c:v>
                </c:pt>
                <c:pt idx="8">
                  <c:v>09-Oct</c:v>
                </c:pt>
                <c:pt idx="9">
                  <c:v>10-Oct</c:v>
                </c:pt>
                <c:pt idx="10">
                  <c:v>11-Oct</c:v>
                </c:pt>
                <c:pt idx="11">
                  <c:v>12-Oct</c:v>
                </c:pt>
                <c:pt idx="12">
                  <c:v>13-Oct</c:v>
                </c:pt>
                <c:pt idx="13">
                  <c:v>14-Oct</c:v>
                </c:pt>
                <c:pt idx="14">
                  <c:v>15-Oct</c:v>
                </c:pt>
                <c:pt idx="15">
                  <c:v>16-Oct</c:v>
                </c:pt>
                <c:pt idx="16">
                  <c:v>17-Oct</c:v>
                </c:pt>
                <c:pt idx="17">
                  <c:v>18-Oct</c:v>
                </c:pt>
                <c:pt idx="18">
                  <c:v>19-Oct</c:v>
                </c:pt>
                <c:pt idx="19">
                  <c:v>20-Oct</c:v>
                </c:pt>
                <c:pt idx="20">
                  <c:v>21-Oct</c:v>
                </c:pt>
                <c:pt idx="21">
                  <c:v>22-Oct</c:v>
                </c:pt>
                <c:pt idx="22">
                  <c:v>23-Oct</c:v>
                </c:pt>
                <c:pt idx="23">
                  <c:v>24-Oct</c:v>
                </c:pt>
                <c:pt idx="24">
                  <c:v>25-Oct</c:v>
                </c:pt>
                <c:pt idx="25">
                  <c:v>26-Oct</c:v>
                </c:pt>
                <c:pt idx="26">
                  <c:v>27-Oct</c:v>
                </c:pt>
                <c:pt idx="27">
                  <c:v>28-Oct</c:v>
                </c:pt>
              </c:strCache>
            </c:strRef>
          </c:cat>
          <c:val>
            <c:numRef>
              <c:f>Trends!$B$5:$B$32</c:f>
              <c:numCache>
                <c:formatCode>#,##0</c:formatCode>
                <c:ptCount val="28"/>
                <c:pt idx="0">
                  <c:v>33</c:v>
                </c:pt>
                <c:pt idx="1">
                  <c:v>19</c:v>
                </c:pt>
                <c:pt idx="2">
                  <c:v>23</c:v>
                </c:pt>
                <c:pt idx="3">
                  <c:v>42</c:v>
                </c:pt>
                <c:pt idx="4">
                  <c:v>40</c:v>
                </c:pt>
                <c:pt idx="5">
                  <c:v>34</c:v>
                </c:pt>
                <c:pt idx="6">
                  <c:v>39</c:v>
                </c:pt>
                <c:pt idx="7">
                  <c:v>28</c:v>
                </c:pt>
                <c:pt idx="8">
                  <c:v>35</c:v>
                </c:pt>
                <c:pt idx="9">
                  <c:v>23</c:v>
                </c:pt>
                <c:pt idx="10">
                  <c:v>35</c:v>
                </c:pt>
                <c:pt idx="11">
                  <c:v>21</c:v>
                </c:pt>
                <c:pt idx="12">
                  <c:v>41</c:v>
                </c:pt>
                <c:pt idx="13">
                  <c:v>37</c:v>
                </c:pt>
                <c:pt idx="14">
                  <c:v>48</c:v>
                </c:pt>
                <c:pt idx="15">
                  <c:v>47</c:v>
                </c:pt>
                <c:pt idx="16">
                  <c:v>57</c:v>
                </c:pt>
                <c:pt idx="17">
                  <c:v>146</c:v>
                </c:pt>
                <c:pt idx="18">
                  <c:v>70</c:v>
                </c:pt>
                <c:pt idx="19">
                  <c:v>84</c:v>
                </c:pt>
                <c:pt idx="20">
                  <c:v>118</c:v>
                </c:pt>
                <c:pt idx="21">
                  <c:v>85</c:v>
                </c:pt>
                <c:pt idx="22">
                  <c:v>125</c:v>
                </c:pt>
                <c:pt idx="23">
                  <c:v>80</c:v>
                </c:pt>
                <c:pt idx="24">
                  <c:v>117</c:v>
                </c:pt>
                <c:pt idx="25">
                  <c:v>50</c:v>
                </c:pt>
                <c:pt idx="26">
                  <c:v>89</c:v>
                </c:pt>
                <c:pt idx="27">
                  <c:v>127</c:v>
                </c:pt>
              </c:numCache>
            </c:numRef>
          </c:val>
        </c:ser>
        <c:gapWidth val="150"/>
        <c:overlap val="0"/>
        <c:axId val="93801932"/>
        <c:axId val="39544373"/>
      </c:barChart>
      <c:lineChart>
        <c:grouping val="standard"/>
        <c:varyColors val="0"/>
        <c:ser>
          <c:idx val="1"/>
          <c:order val="1"/>
          <c:tx>
            <c:strRef>
              <c:f>Trends!D4</c:f>
              <c:strCache>
                <c:ptCount val="1"/>
                <c:pt idx="0">
                  <c:v>Qualified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Trends!$A$5:$A$32</c:f>
              <c:strCache>
                <c:ptCount val="28"/>
                <c:pt idx="0">
                  <c:v>01-Oct</c:v>
                </c:pt>
                <c:pt idx="1">
                  <c:v>02-Oct</c:v>
                </c:pt>
                <c:pt idx="2">
                  <c:v>03-Oct</c:v>
                </c:pt>
                <c:pt idx="3">
                  <c:v>04-Oct</c:v>
                </c:pt>
                <c:pt idx="4">
                  <c:v>05-Oct</c:v>
                </c:pt>
                <c:pt idx="5">
                  <c:v>06-Oct</c:v>
                </c:pt>
                <c:pt idx="6">
                  <c:v>07-Oct</c:v>
                </c:pt>
                <c:pt idx="7">
                  <c:v>08-Oct</c:v>
                </c:pt>
                <c:pt idx="8">
                  <c:v>09-Oct</c:v>
                </c:pt>
                <c:pt idx="9">
                  <c:v>10-Oct</c:v>
                </c:pt>
                <c:pt idx="10">
                  <c:v>11-Oct</c:v>
                </c:pt>
                <c:pt idx="11">
                  <c:v>12-Oct</c:v>
                </c:pt>
                <c:pt idx="12">
                  <c:v>13-Oct</c:v>
                </c:pt>
                <c:pt idx="13">
                  <c:v>14-Oct</c:v>
                </c:pt>
                <c:pt idx="14">
                  <c:v>15-Oct</c:v>
                </c:pt>
                <c:pt idx="15">
                  <c:v>16-Oct</c:v>
                </c:pt>
                <c:pt idx="16">
                  <c:v>17-Oct</c:v>
                </c:pt>
                <c:pt idx="17">
                  <c:v>18-Oct</c:v>
                </c:pt>
                <c:pt idx="18">
                  <c:v>19-Oct</c:v>
                </c:pt>
                <c:pt idx="19">
                  <c:v>20-Oct</c:v>
                </c:pt>
                <c:pt idx="20">
                  <c:v>21-Oct</c:v>
                </c:pt>
                <c:pt idx="21">
                  <c:v>22-Oct</c:v>
                </c:pt>
                <c:pt idx="22">
                  <c:v>23-Oct</c:v>
                </c:pt>
                <c:pt idx="23">
                  <c:v>24-Oct</c:v>
                </c:pt>
                <c:pt idx="24">
                  <c:v>25-Oct</c:v>
                </c:pt>
                <c:pt idx="25">
                  <c:v>26-Oct</c:v>
                </c:pt>
                <c:pt idx="26">
                  <c:v>27-Oct</c:v>
                </c:pt>
                <c:pt idx="27">
                  <c:v>28-Oct</c:v>
                </c:pt>
              </c:strCache>
            </c:strRef>
          </c:cat>
          <c:val>
            <c:numRef>
              <c:f>Trends!$D$5:$D$32</c:f>
              <c:numCache>
                <c:formatCode>0.0%</c:formatCode>
                <c:ptCount val="28"/>
                <c:pt idx="0">
                  <c:v>0.272727272727273</c:v>
                </c:pt>
                <c:pt idx="1">
                  <c:v>0.421052631578947</c:v>
                </c:pt>
                <c:pt idx="2">
                  <c:v>0.347826086956522</c:v>
                </c:pt>
                <c:pt idx="3">
                  <c:v>0.404761904761905</c:v>
                </c:pt>
                <c:pt idx="4">
                  <c:v>0.4</c:v>
                </c:pt>
                <c:pt idx="5">
                  <c:v>0.323529411764706</c:v>
                </c:pt>
                <c:pt idx="6">
                  <c:v>0.358974358974359</c:v>
                </c:pt>
                <c:pt idx="7">
                  <c:v>0.428571428571429</c:v>
                </c:pt>
                <c:pt idx="8">
                  <c:v>0.4</c:v>
                </c:pt>
                <c:pt idx="9">
                  <c:v>0.260869565217391</c:v>
                </c:pt>
                <c:pt idx="10">
                  <c:v>0.257142857142857</c:v>
                </c:pt>
                <c:pt idx="11">
                  <c:v>0.238095238095238</c:v>
                </c:pt>
                <c:pt idx="12">
                  <c:v>0.390243902439024</c:v>
                </c:pt>
                <c:pt idx="13">
                  <c:v>0.243243243243243</c:v>
                </c:pt>
                <c:pt idx="14">
                  <c:v>0.270833333333333</c:v>
                </c:pt>
                <c:pt idx="15">
                  <c:v>0.25531914893617</c:v>
                </c:pt>
                <c:pt idx="16">
                  <c:v>0.315789473684211</c:v>
                </c:pt>
                <c:pt idx="17">
                  <c:v>0.246575342465753</c:v>
                </c:pt>
                <c:pt idx="18">
                  <c:v>0.185714285714286</c:v>
                </c:pt>
                <c:pt idx="19">
                  <c:v>0.238095238095238</c:v>
                </c:pt>
                <c:pt idx="20">
                  <c:v>0.279661016949153</c:v>
                </c:pt>
                <c:pt idx="21">
                  <c:v>0.164705882352941</c:v>
                </c:pt>
                <c:pt idx="22">
                  <c:v>0.224</c:v>
                </c:pt>
                <c:pt idx="23">
                  <c:v>0.2375</c:v>
                </c:pt>
                <c:pt idx="24">
                  <c:v>0.196581196581197</c:v>
                </c:pt>
                <c:pt idx="25">
                  <c:v>0.16</c:v>
                </c:pt>
                <c:pt idx="26">
                  <c:v>0.123595505617978</c:v>
                </c:pt>
                <c:pt idx="27">
                  <c:v>0.118110236220472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795189"/>
        <c:axId val="77835763"/>
      </c:lineChart>
      <c:catAx>
        <c:axId val="93801932"/>
        <c:scaling>
          <c:orientation val="minMax"/>
        </c:scaling>
        <c:delete val="0"/>
        <c:axPos val="b"/>
        <c:numFmt formatCode="dd\-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44373"/>
        <c:crosses val="autoZero"/>
        <c:auto val="1"/>
        <c:lblAlgn val="ctr"/>
        <c:lblOffset val="100"/>
        <c:noMultiLvlLbl val="0"/>
      </c:catAx>
      <c:valAx>
        <c:axId val="395443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01932"/>
        <c:crosses val="autoZero"/>
        <c:crossBetween val="between"/>
      </c:valAx>
      <c:catAx>
        <c:axId val="6379518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35763"/>
        <c:crosses val="autoZero"/>
        <c:auto val="1"/>
        <c:lblAlgn val="ctr"/>
        <c:lblOffset val="100"/>
        <c:noMultiLvlLbl val="0"/>
      </c:catAx>
      <c:valAx>
        <c:axId val="7783576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Qualified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95189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26</xdr:col>
      <xdr:colOff>78480</xdr:colOff>
      <xdr:row>17</xdr:row>
      <xdr:rowOff>20160</xdr:rowOff>
    </xdr:to>
    <xdr:graphicFrame>
      <xdr:nvGraphicFramePr>
        <xdr:cNvPr id="0" name="Chart 1"/>
        <xdr:cNvGraphicFramePr/>
      </xdr:nvGraphicFramePr>
      <xdr:xfrm>
        <a:off x="13016880" y="571680"/>
        <a:ext cx="86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5.5" hidden="false" customHeight="true" outlineLevel="0" collapsed="false">
      <c r="A5" s="4" t="n">
        <f aca="false">Funnel_Campaign!C12</f>
        <v>1215764.27</v>
      </c>
      <c r="B5" s="5" t="n">
        <f aca="false">Funnel_Campaign!G12</f>
        <v>1693</v>
      </c>
      <c r="C5" s="4" t="n">
        <f aca="false">Funnel_Campaign!J12</f>
        <v>718.112386296515</v>
      </c>
      <c r="D5" s="5" t="n">
        <f aca="false">Funnel_Campaign!H12</f>
        <v>417</v>
      </c>
      <c r="E5" s="6" t="n">
        <f aca="false">Funnel_Campaign!K12</f>
        <v>0.246308328411105</v>
      </c>
      <c r="F5" s="4" t="n">
        <f aca="false">Funnel_Campaign!L12</f>
        <v>2915.50184652278</v>
      </c>
      <c r="G5" s="5" t="n">
        <f aca="false">Funnel_Campaign!I12</f>
        <v>92</v>
      </c>
      <c r="H5" s="6" t="n">
        <f aca="false">Funnel_Campaign!M12</f>
        <v>0.0543414057885411</v>
      </c>
      <c r="I5" s="4" t="n">
        <f aca="false">Funnel_Campaign!O12</f>
        <v>13214.8290217391</v>
      </c>
    </row>
    <row r="7" customFormat="false" ht="15" hidden="false" customHeight="false" outlineLevel="0" collapsed="false">
      <c r="A7" s="7" t="s">
        <v>11</v>
      </c>
    </row>
    <row r="8" customFormat="false" ht="31.5" hidden="false" customHeight="true" outlineLevel="0" collapsed="false">
      <c r="A8" s="8" t="s">
        <v>12</v>
      </c>
      <c r="B8" s="8"/>
      <c r="C8" s="8"/>
      <c r="D8" s="8"/>
      <c r="E8" s="8"/>
      <c r="F8" s="8"/>
      <c r="G8" s="8"/>
      <c r="H8" s="8"/>
      <c r="I8" s="8"/>
    </row>
    <row r="10" customFormat="false" ht="15" hidden="false" customHeight="false" outlineLevel="0" collapsed="false">
      <c r="A10" s="7" t="s">
        <v>13</v>
      </c>
    </row>
    <row r="11" customFormat="false" ht="15" hidden="false" customHeight="false" outlineLevel="0" collapsed="false">
      <c r="A11" s="9" t="n">
        <v>1</v>
      </c>
      <c r="B11" s="10" t="s">
        <v>14</v>
      </c>
      <c r="C11" s="10"/>
      <c r="D11" s="10"/>
      <c r="E11" s="10"/>
      <c r="F11" s="10"/>
      <c r="G11" s="10"/>
      <c r="H11" s="10"/>
      <c r="I11" s="10"/>
    </row>
    <row r="12" customFormat="false" ht="31.5" hidden="false" customHeight="true" outlineLevel="0" collapsed="false">
      <c r="B12" s="8" t="s">
        <v>15</v>
      </c>
      <c r="C12" s="8"/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9" t="n">
        <v>2</v>
      </c>
      <c r="B13" s="10" t="s">
        <v>16</v>
      </c>
      <c r="C13" s="10"/>
      <c r="D13" s="10"/>
      <c r="E13" s="10"/>
      <c r="F13" s="10"/>
      <c r="G13" s="10"/>
      <c r="H13" s="10"/>
      <c r="I13" s="10"/>
    </row>
    <row r="14" customFormat="false" ht="31.5" hidden="false" customHeight="true" outlineLevel="0" collapsed="false">
      <c r="B14" s="8" t="s">
        <v>17</v>
      </c>
      <c r="C14" s="8"/>
      <c r="D14" s="8"/>
      <c r="E14" s="8"/>
      <c r="F14" s="8"/>
      <c r="G14" s="8"/>
      <c r="H14" s="8"/>
      <c r="I14" s="8"/>
    </row>
    <row r="15" customFormat="false" ht="15" hidden="false" customHeight="false" outlineLevel="0" collapsed="false">
      <c r="A15" s="9" t="n">
        <v>3</v>
      </c>
      <c r="B15" s="10" t="s">
        <v>18</v>
      </c>
      <c r="C15" s="10"/>
      <c r="D15" s="10"/>
      <c r="E15" s="10"/>
      <c r="F15" s="10"/>
      <c r="G15" s="10"/>
      <c r="H15" s="10"/>
      <c r="I15" s="10"/>
    </row>
    <row r="16" customFormat="false" ht="31.5" hidden="false" customHeight="true" outlineLevel="0" collapsed="false">
      <c r="B16" s="8" t="s">
        <v>19</v>
      </c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9" t="n">
        <v>4</v>
      </c>
      <c r="B17" s="10" t="s">
        <v>20</v>
      </c>
      <c r="C17" s="10"/>
      <c r="D17" s="10"/>
      <c r="E17" s="10"/>
      <c r="F17" s="10"/>
      <c r="G17" s="10"/>
      <c r="H17" s="10"/>
      <c r="I17" s="10"/>
    </row>
    <row r="18" customFormat="false" ht="31.5" hidden="false" customHeight="true" outlineLevel="0" collapsed="false">
      <c r="B18" s="8" t="s">
        <v>21</v>
      </c>
      <c r="C18" s="8"/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A19" s="9" t="n">
        <v>5</v>
      </c>
      <c r="B19" s="10" t="s">
        <v>22</v>
      </c>
      <c r="C19" s="10"/>
      <c r="D19" s="10"/>
      <c r="E19" s="10"/>
      <c r="F19" s="10"/>
      <c r="G19" s="10"/>
      <c r="H19" s="10"/>
      <c r="I19" s="10"/>
    </row>
    <row r="20" customFormat="false" ht="31.5" hidden="false" customHeight="true" outlineLevel="0" collapsed="false">
      <c r="B20" s="8" t="s">
        <v>23</v>
      </c>
      <c r="C20" s="8"/>
      <c r="D20" s="8"/>
      <c r="E20" s="8"/>
      <c r="F20" s="8"/>
      <c r="G20" s="8"/>
      <c r="H20" s="8"/>
      <c r="I20" s="8"/>
    </row>
    <row r="21" customFormat="false" ht="15" hidden="false" customHeight="false" outlineLevel="0" collapsed="false">
      <c r="A21" s="9" t="n">
        <v>6</v>
      </c>
      <c r="B21" s="10" t="s">
        <v>24</v>
      </c>
      <c r="C21" s="10"/>
      <c r="D21" s="10"/>
      <c r="E21" s="10"/>
      <c r="F21" s="10"/>
      <c r="G21" s="10"/>
      <c r="H21" s="10"/>
      <c r="I21" s="10"/>
    </row>
    <row r="22" customFormat="false" ht="31.5" hidden="false" customHeight="true" outlineLevel="0" collapsed="false">
      <c r="B22" s="8" t="s">
        <v>25</v>
      </c>
      <c r="C22" s="8"/>
      <c r="D22" s="8"/>
      <c r="E22" s="8"/>
      <c r="F22" s="8"/>
      <c r="G22" s="8"/>
      <c r="H22" s="8"/>
      <c r="I22" s="8"/>
    </row>
    <row r="23" customFormat="false" ht="15" hidden="false" customHeight="false" outlineLevel="0" collapsed="false">
      <c r="A23" s="9" t="n">
        <v>7</v>
      </c>
      <c r="B23" s="10" t="s">
        <v>26</v>
      </c>
      <c r="C23" s="10"/>
      <c r="D23" s="10"/>
      <c r="E23" s="10"/>
      <c r="F23" s="10"/>
      <c r="G23" s="10"/>
      <c r="H23" s="10"/>
      <c r="I23" s="10"/>
    </row>
    <row r="24" customFormat="false" ht="31.5" hidden="false" customHeight="true" outlineLevel="0" collapsed="false">
      <c r="B24" s="8" t="s">
        <v>27</v>
      </c>
      <c r="C24" s="8"/>
      <c r="D24" s="8"/>
      <c r="E24" s="8"/>
      <c r="F24" s="8"/>
      <c r="G24" s="8"/>
      <c r="H24" s="8"/>
      <c r="I24" s="8"/>
    </row>
    <row r="25" customFormat="false" ht="15" hidden="false" customHeight="false" outlineLevel="0" collapsed="false">
      <c r="A25" s="9" t="n">
        <v>8</v>
      </c>
      <c r="B25" s="10" t="s">
        <v>28</v>
      </c>
      <c r="C25" s="10"/>
      <c r="D25" s="10"/>
      <c r="E25" s="10"/>
      <c r="F25" s="10"/>
      <c r="G25" s="10"/>
      <c r="H25" s="10"/>
      <c r="I25" s="10"/>
    </row>
    <row r="26" customFormat="false" ht="31.5" hidden="false" customHeight="true" outlineLevel="0" collapsed="false">
      <c r="B26" s="8" t="s">
        <v>29</v>
      </c>
      <c r="C26" s="8"/>
      <c r="D26" s="8"/>
      <c r="E26" s="8"/>
      <c r="F26" s="8"/>
      <c r="G26" s="8"/>
      <c r="H26" s="8"/>
      <c r="I26" s="8"/>
    </row>
    <row r="27" customFormat="false" ht="15" hidden="false" customHeight="false" outlineLevel="0" collapsed="false">
      <c r="A27" s="9" t="n">
        <v>9</v>
      </c>
      <c r="B27" s="10" t="s">
        <v>30</v>
      </c>
      <c r="C27" s="10"/>
      <c r="D27" s="10"/>
      <c r="E27" s="10"/>
      <c r="F27" s="10"/>
      <c r="G27" s="10"/>
      <c r="H27" s="10"/>
      <c r="I27" s="10"/>
    </row>
    <row r="28" customFormat="false" ht="31.5" hidden="false" customHeight="true" outlineLevel="0" collapsed="false">
      <c r="B28" s="8" t="s">
        <v>31</v>
      </c>
      <c r="C28" s="8"/>
      <c r="D28" s="8"/>
      <c r="E28" s="8"/>
      <c r="F28" s="8"/>
      <c r="G28" s="8"/>
      <c r="H28" s="8"/>
      <c r="I28" s="8"/>
    </row>
    <row r="30" customFormat="false" ht="15" hidden="false" customHeight="false" outlineLevel="0" collapsed="false">
      <c r="A30" s="7" t="s">
        <v>32</v>
      </c>
    </row>
    <row r="31" customFormat="false" ht="30" hidden="false" customHeight="true" outlineLevel="0" collapsed="false">
      <c r="A31" s="11" t="n">
        <v>1</v>
      </c>
      <c r="B31" s="8" t="s">
        <v>33</v>
      </c>
      <c r="C31" s="8"/>
      <c r="D31" s="8"/>
      <c r="E31" s="8"/>
      <c r="F31" s="8"/>
      <c r="G31" s="8"/>
      <c r="H31" s="8"/>
      <c r="I31" s="8"/>
    </row>
    <row r="32" customFormat="false" ht="30" hidden="false" customHeight="true" outlineLevel="0" collapsed="false">
      <c r="A32" s="11" t="n">
        <v>2</v>
      </c>
      <c r="B32" s="8" t="s">
        <v>34</v>
      </c>
      <c r="C32" s="8"/>
      <c r="D32" s="8"/>
      <c r="E32" s="8"/>
      <c r="F32" s="8"/>
      <c r="G32" s="8"/>
      <c r="H32" s="8"/>
      <c r="I32" s="8"/>
    </row>
    <row r="33" customFormat="false" ht="30" hidden="false" customHeight="true" outlineLevel="0" collapsed="false">
      <c r="A33" s="11" t="n">
        <v>3</v>
      </c>
      <c r="B33" s="8" t="s">
        <v>35</v>
      </c>
      <c r="C33" s="8"/>
      <c r="D33" s="8"/>
      <c r="E33" s="8"/>
      <c r="F33" s="8"/>
      <c r="G33" s="8"/>
      <c r="H33" s="8"/>
      <c r="I33" s="8"/>
    </row>
    <row r="34" customFormat="false" ht="30" hidden="false" customHeight="true" outlineLevel="0" collapsed="false">
      <c r="A34" s="11" t="n">
        <v>4</v>
      </c>
      <c r="B34" s="8" t="s">
        <v>36</v>
      </c>
      <c r="C34" s="8"/>
      <c r="D34" s="8"/>
      <c r="E34" s="8"/>
      <c r="F34" s="8"/>
      <c r="G34" s="8"/>
      <c r="H34" s="8"/>
      <c r="I34" s="8"/>
    </row>
    <row r="35" customFormat="false" ht="30" hidden="false" customHeight="true" outlineLevel="0" collapsed="false">
      <c r="A35" s="11" t="n">
        <v>5</v>
      </c>
      <c r="B35" s="8" t="s">
        <v>37</v>
      </c>
      <c r="C35" s="8"/>
      <c r="D35" s="8"/>
      <c r="E35" s="8"/>
      <c r="F35" s="8"/>
      <c r="G35" s="8"/>
      <c r="H35" s="8"/>
      <c r="I35" s="8"/>
    </row>
    <row r="36" customFormat="false" ht="30" hidden="false" customHeight="true" outlineLevel="0" collapsed="false">
      <c r="A36" s="11" t="n">
        <v>6</v>
      </c>
      <c r="B36" s="8" t="s">
        <v>38</v>
      </c>
      <c r="C36" s="8"/>
      <c r="D36" s="8"/>
      <c r="E36" s="8"/>
      <c r="F36" s="8"/>
      <c r="G36" s="8"/>
      <c r="H36" s="8"/>
      <c r="I36" s="8"/>
    </row>
  </sheetData>
  <mergeCells count="25">
    <mergeCell ref="A8:I8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31:I31"/>
    <mergeCell ref="B32:I32"/>
    <mergeCell ref="B33:I33"/>
    <mergeCell ref="B34:I34"/>
    <mergeCell ref="B35:I35"/>
    <mergeCell ref="B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3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9" min="7" style="0" width="10"/>
    <col collapsed="false" customWidth="true" hidden="false" outlineLevel="0" max="10" min="10" style="0" width="11"/>
    <col collapsed="false" customWidth="true" hidden="false" outlineLevel="0" max="12" min="11" style="0" width="10"/>
    <col collapsed="false" customWidth="true" hidden="false" outlineLevel="0" max="14" min="13" style="0" width="12"/>
    <col collapsed="false" customWidth="true" hidden="false" outlineLevel="0" max="15" min="15" style="0" width="13"/>
    <col collapsed="false" customWidth="true" hidden="false" outlineLevel="0" max="18" min="16" style="0" width="9"/>
    <col collapsed="false" customWidth="true" hidden="false" outlineLevel="0" max="21" min="19" style="0" width="10"/>
    <col collapsed="false" customWidth="true" hidden="false" outlineLevel="0" max="22" min="22" style="0" width="14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42" hidden="false" customHeight="true" outlineLevel="0" collapsed="false">
      <c r="A4" s="12" t="s">
        <v>41</v>
      </c>
      <c r="B4" s="12" t="s">
        <v>42</v>
      </c>
      <c r="C4" s="12" t="s">
        <v>43</v>
      </c>
      <c r="D4" s="12" t="s">
        <v>44</v>
      </c>
      <c r="E4" s="12" t="s">
        <v>45</v>
      </c>
      <c r="F4" s="12" t="s">
        <v>46</v>
      </c>
      <c r="G4" s="12" t="s">
        <v>3</v>
      </c>
      <c r="H4" s="12" t="s">
        <v>47</v>
      </c>
      <c r="I4" s="12" t="s">
        <v>48</v>
      </c>
      <c r="J4" s="12" t="s">
        <v>49</v>
      </c>
      <c r="K4" s="12" t="s">
        <v>6</v>
      </c>
      <c r="L4" s="12" t="s">
        <v>50</v>
      </c>
      <c r="M4" s="12" t="s">
        <v>9</v>
      </c>
      <c r="N4" s="12" t="s">
        <v>51</v>
      </c>
      <c r="O4" s="12" t="s">
        <v>52</v>
      </c>
      <c r="P4" s="12" t="s">
        <v>53</v>
      </c>
      <c r="Q4" s="12" t="s">
        <v>54</v>
      </c>
      <c r="R4" s="12" t="s">
        <v>55</v>
      </c>
      <c r="S4" s="12" t="s">
        <v>56</v>
      </c>
      <c r="T4" s="12" t="s">
        <v>57</v>
      </c>
      <c r="U4" s="12" t="s">
        <v>58</v>
      </c>
      <c r="V4" s="12" t="s">
        <v>59</v>
      </c>
    </row>
    <row r="5" customFormat="false" ht="15" hidden="false" customHeight="false" outlineLevel="0" collapsed="false">
      <c r="A5" s="13" t="s">
        <v>60</v>
      </c>
      <c r="B5" s="13" t="s">
        <v>61</v>
      </c>
      <c r="C5" s="14" t="n">
        <v>672858.87</v>
      </c>
      <c r="D5" s="15" t="n">
        <v>4576967</v>
      </c>
      <c r="E5" s="15" t="n">
        <v>1850403</v>
      </c>
      <c r="F5" s="15" t="n">
        <v>22823</v>
      </c>
      <c r="G5" s="15" t="n">
        <v>1208</v>
      </c>
      <c r="H5" s="15" t="n">
        <v>243</v>
      </c>
      <c r="I5" s="15" t="n">
        <v>31</v>
      </c>
      <c r="J5" s="14" t="n">
        <f aca="false">IFERROR(C5/G5,"n/a")</f>
        <v>557.002375827815</v>
      </c>
      <c r="K5" s="16" t="n">
        <f aca="false">IFERROR(H5/G5,"n/a")</f>
        <v>0.201158940397351</v>
      </c>
      <c r="L5" s="14" t="n">
        <f aca="false">IFERROR(C5/H5,"n/a")</f>
        <v>2768.96654320988</v>
      </c>
      <c r="M5" s="16" t="n">
        <f aca="false">IFERROR(I5/G5,"n/a")</f>
        <v>0.0256622516556291</v>
      </c>
      <c r="N5" s="16" t="n">
        <f aca="false">IFERROR(I5/H5,"n/a")</f>
        <v>0.127572016460905</v>
      </c>
      <c r="O5" s="14" t="n">
        <f aca="false">IF(AND(I5&gt;0,C5&gt;0),C5/I5,"n/a")</f>
        <v>21705.1248387097</v>
      </c>
      <c r="P5" s="17" t="n">
        <f aca="false">IFERROR(F5/D5,"n/a")</f>
        <v>0.00498648996158373</v>
      </c>
      <c r="Q5" s="14" t="n">
        <f aca="false">IFERROR(C5/F5,"n/a")</f>
        <v>29.4816137229987</v>
      </c>
      <c r="R5" s="14" t="n">
        <f aca="false">IFERROR(C5/D5*1000,"n/a")</f>
        <v>147.009770881022</v>
      </c>
      <c r="S5" s="18" t="n">
        <f aca="false">IF(E5="","n/a",IFERROR(D5/E5,"n/a"))</f>
        <v>2.47349739489182</v>
      </c>
      <c r="T5" s="16" t="n">
        <f aca="false">IFERROR(C5/$C$12,"n/a")</f>
        <v>0.553445175683605</v>
      </c>
      <c r="U5" s="16" t="n">
        <f aca="false">IFERROR(I5/$I$12,"n/a")</f>
        <v>0.33695652173913</v>
      </c>
      <c r="V5" s="18" t="n">
        <f aca="false">IFERROR(IF(AND(I5&gt;0,C5&gt;0),($O$12)/(C5/I5),"n/a"),"n/a")</f>
        <v>0.608834508897703</v>
      </c>
    </row>
    <row r="6" customFormat="false" ht="15" hidden="false" customHeight="false" outlineLevel="0" collapsed="false">
      <c r="A6" s="13" t="s">
        <v>62</v>
      </c>
      <c r="B6" s="13" t="s">
        <v>61</v>
      </c>
      <c r="C6" s="14" t="n">
        <v>338747.09</v>
      </c>
      <c r="D6" s="15" t="n">
        <v>862709</v>
      </c>
      <c r="E6" s="15" t="n">
        <v>367607</v>
      </c>
      <c r="F6" s="15" t="n">
        <v>5066</v>
      </c>
      <c r="G6" s="15" t="n">
        <v>340</v>
      </c>
      <c r="H6" s="15" t="n">
        <v>126</v>
      </c>
      <c r="I6" s="15" t="n">
        <v>41</v>
      </c>
      <c r="J6" s="14" t="n">
        <f aca="false">IFERROR(C6/G6,"n/a")</f>
        <v>996.314970588235</v>
      </c>
      <c r="K6" s="16" t="n">
        <f aca="false">IFERROR(H6/G6,"n/a")</f>
        <v>0.370588235294118</v>
      </c>
      <c r="L6" s="14" t="n">
        <f aca="false">IFERROR(C6/H6,"n/a")</f>
        <v>2688.46896825397</v>
      </c>
      <c r="M6" s="16" t="n">
        <f aca="false">IFERROR(I6/G6,"n/a")</f>
        <v>0.120588235294118</v>
      </c>
      <c r="N6" s="16" t="n">
        <f aca="false">IFERROR(I6/H6,"n/a")</f>
        <v>0.325396825396825</v>
      </c>
      <c r="O6" s="14" t="n">
        <f aca="false">IF(AND(I6&gt;0,C6&gt;0),C6/I6,"n/a")</f>
        <v>8262.12414634146</v>
      </c>
      <c r="P6" s="17" t="n">
        <f aca="false">IFERROR(F6/D6,"n/a")</f>
        <v>0.0058722002436511</v>
      </c>
      <c r="Q6" s="14" t="n">
        <f aca="false">IFERROR(C6/F6,"n/a")</f>
        <v>66.866776549546</v>
      </c>
      <c r="R6" s="14" t="n">
        <f aca="false">IFERROR(C6/D6*1000,"n/a")</f>
        <v>392.655101546408</v>
      </c>
      <c r="S6" s="18" t="n">
        <f aca="false">IF(E6="","n/a",IFERROR(D6/E6,"n/a"))</f>
        <v>2.34682418996374</v>
      </c>
      <c r="T6" s="16" t="n">
        <f aca="false">IFERROR(C6/$C$12,"n/a")</f>
        <v>0.278628923681069</v>
      </c>
      <c r="U6" s="16" t="n">
        <f aca="false">IFERROR(I6/$I$12,"n/a")</f>
        <v>0.445652173913043</v>
      </c>
      <c r="V6" s="18" t="n">
        <f aca="false">IFERROR(IF(AND(I6&gt;0,C6&gt;0),($O$12)/(C6/I6),"n/a"),"n/a")</f>
        <v>1.5994469203892</v>
      </c>
    </row>
    <row r="7" customFormat="false" ht="15" hidden="false" customHeight="false" outlineLevel="0" collapsed="false">
      <c r="A7" s="13" t="s">
        <v>63</v>
      </c>
      <c r="B7" s="13" t="s">
        <v>61</v>
      </c>
      <c r="C7" s="14" t="n">
        <v>194123.34</v>
      </c>
      <c r="D7" s="15" t="n">
        <v>390794</v>
      </c>
      <c r="E7" s="15" t="n">
        <v>221625</v>
      </c>
      <c r="F7" s="15" t="n">
        <v>2781</v>
      </c>
      <c r="G7" s="15" t="n">
        <v>139</v>
      </c>
      <c r="H7" s="15" t="n">
        <v>46</v>
      </c>
      <c r="I7" s="15" t="n">
        <v>9</v>
      </c>
      <c r="J7" s="14" t="n">
        <f aca="false">IFERROR(C7/G7,"n/a")</f>
        <v>1396.57079136691</v>
      </c>
      <c r="K7" s="16" t="n">
        <f aca="false">IFERROR(H7/G7,"n/a")</f>
        <v>0.330935251798561</v>
      </c>
      <c r="L7" s="14" t="n">
        <f aca="false">IFERROR(C7/H7,"n/a")</f>
        <v>4220.07260869565</v>
      </c>
      <c r="M7" s="16" t="n">
        <f aca="false">IFERROR(I7/G7,"n/a")</f>
        <v>0.0647482014388489</v>
      </c>
      <c r="N7" s="16" t="n">
        <f aca="false">IFERROR(I7/H7,"n/a")</f>
        <v>0.195652173913044</v>
      </c>
      <c r="O7" s="14" t="n">
        <f aca="false">IF(AND(I7&gt;0,C7&gt;0),C7/I7,"n/a")</f>
        <v>21569.26</v>
      </c>
      <c r="P7" s="17" t="n">
        <f aca="false">IFERROR(F7/D7,"n/a")</f>
        <v>0.0071162812120964</v>
      </c>
      <c r="Q7" s="14" t="n">
        <f aca="false">IFERROR(C7/F7,"n/a")</f>
        <v>69.803430420712</v>
      </c>
      <c r="R7" s="14" t="n">
        <f aca="false">IFERROR(C7/D7*1000,"n/a")</f>
        <v>496.740840442791</v>
      </c>
      <c r="S7" s="18" t="n">
        <f aca="false">IF(E7="","n/a",IFERROR(D7/E7,"n/a"))</f>
        <v>1.76331190073322</v>
      </c>
      <c r="T7" s="16" t="n">
        <f aca="false">IFERROR(C7/$C$12,"n/a")</f>
        <v>0.159671858097952</v>
      </c>
      <c r="U7" s="16" t="n">
        <f aca="false">IFERROR(I7/$I$12,"n/a")</f>
        <v>0.0978260869565217</v>
      </c>
      <c r="V7" s="18" t="n">
        <f aca="false">IFERROR(IF(AND(I7&gt;0,C7&gt;0),($O$12)/(C7/I7),"n/a"),"n/a")</f>
        <v>0.61266955944428</v>
      </c>
    </row>
    <row r="8" customFormat="false" ht="15" hidden="false" customHeight="false" outlineLevel="0" collapsed="false">
      <c r="A8" s="13" t="s">
        <v>64</v>
      </c>
      <c r="B8" s="13" t="s">
        <v>61</v>
      </c>
      <c r="C8" s="14" t="n">
        <v>7213.35</v>
      </c>
      <c r="D8" s="15" t="n">
        <v>19452</v>
      </c>
      <c r="E8" s="15" t="n">
        <v>2134</v>
      </c>
      <c r="F8" s="15" t="n">
        <v>84</v>
      </c>
      <c r="G8" s="15" t="n">
        <v>0</v>
      </c>
      <c r="H8" s="15" t="n">
        <v>0</v>
      </c>
      <c r="I8" s="15" t="n">
        <v>0</v>
      </c>
      <c r="J8" s="14" t="str">
        <f aca="false">IFERROR(C8/G8,"n/a")</f>
        <v>n/a</v>
      </c>
      <c r="K8" s="16" t="str">
        <f aca="false">IFERROR(H8/G8,"n/a")</f>
        <v>n/a</v>
      </c>
      <c r="L8" s="14" t="str">
        <f aca="false">IFERROR(C8/H8,"n/a")</f>
        <v>n/a</v>
      </c>
      <c r="M8" s="16" t="str">
        <f aca="false">IFERROR(I8/G8,"n/a")</f>
        <v>n/a</v>
      </c>
      <c r="N8" s="16" t="str">
        <f aca="false">IFERROR(I8/H8,"n/a")</f>
        <v>n/a</v>
      </c>
      <c r="O8" s="14" t="str">
        <f aca="false">IF(AND(I8&gt;0,C8&gt;0),C8/I8,"n/a")</f>
        <v>n/a</v>
      </c>
      <c r="P8" s="17" t="n">
        <f aca="false">IFERROR(F8/D8,"n/a")</f>
        <v>0.00431832202344232</v>
      </c>
      <c r="Q8" s="14" t="n">
        <f aca="false">IFERROR(C8/F8,"n/a")</f>
        <v>85.8732142857143</v>
      </c>
      <c r="R8" s="14" t="n">
        <f aca="false">IFERROR(C8/D8*1000,"n/a")</f>
        <v>370.828192473782</v>
      </c>
      <c r="S8" s="18" t="n">
        <f aca="false">IF(E8="","n/a",IFERROR(D8/E8,"n/a"))</f>
        <v>9.11527647610122</v>
      </c>
      <c r="T8" s="16" t="n">
        <f aca="false">IFERROR(C8/$C$12,"n/a")</f>
        <v>0.00593318143820759</v>
      </c>
      <c r="U8" s="16" t="n">
        <f aca="false">IFERROR(I8/$I$12,"n/a")</f>
        <v>0</v>
      </c>
      <c r="V8" s="18" t="str">
        <f aca="false">IFERROR(IF(AND(I8&gt;0,C8&gt;0),($O$12)/(C8/I8),"n/a"),"n/a")</f>
        <v>n/a</v>
      </c>
    </row>
    <row r="9" customFormat="false" ht="15" hidden="false" customHeight="false" outlineLevel="0" collapsed="false">
      <c r="A9" s="13" t="s">
        <v>65</v>
      </c>
      <c r="B9" s="13" t="s">
        <v>61</v>
      </c>
      <c r="C9" s="14" t="n">
        <v>2821.62</v>
      </c>
      <c r="D9" s="15" t="n">
        <v>10131</v>
      </c>
      <c r="E9" s="15" t="n">
        <v>4306</v>
      </c>
      <c r="F9" s="15" t="n">
        <v>116</v>
      </c>
      <c r="G9" s="15" t="n">
        <v>6</v>
      </c>
      <c r="H9" s="15" t="n">
        <v>2</v>
      </c>
      <c r="I9" s="15" t="n">
        <v>1</v>
      </c>
      <c r="J9" s="14" t="n">
        <f aca="false">IFERROR(C9/G9,"n/a")</f>
        <v>470.27</v>
      </c>
      <c r="K9" s="16" t="n">
        <f aca="false">IFERROR(H9/G9,"n/a")</f>
        <v>0.333333333333333</v>
      </c>
      <c r="L9" s="14" t="n">
        <f aca="false">IFERROR(C9/H9,"n/a")</f>
        <v>1410.81</v>
      </c>
      <c r="M9" s="16" t="n">
        <f aca="false">IFERROR(I9/G9,"n/a")</f>
        <v>0.166666666666667</v>
      </c>
      <c r="N9" s="16" t="n">
        <f aca="false">IFERROR(I9/H9,"n/a")</f>
        <v>0.5</v>
      </c>
      <c r="O9" s="14" t="n">
        <f aca="false">IF(AND(I9&gt;0,C9&gt;0),C9/I9,"n/a")</f>
        <v>2821.62</v>
      </c>
      <c r="P9" s="17" t="n">
        <f aca="false">IFERROR(F9/D9,"n/a")</f>
        <v>0.011450004935347</v>
      </c>
      <c r="Q9" s="14" t="n">
        <f aca="false">IFERROR(C9/F9,"n/a")</f>
        <v>24.3243103448276</v>
      </c>
      <c r="R9" s="14" t="n">
        <f aca="false">IFERROR(C9/D9*1000,"n/a")</f>
        <v>278.513473497187</v>
      </c>
      <c r="S9" s="18" t="n">
        <f aca="false">IF(E9="","n/a",IFERROR(D9/E9,"n/a"))</f>
        <v>2.35276358569438</v>
      </c>
      <c r="T9" s="16" t="n">
        <f aca="false">IFERROR(C9/$C$12,"n/a")</f>
        <v>0.00232086109916686</v>
      </c>
      <c r="U9" s="16" t="n">
        <f aca="false">IFERROR(I9/$I$12,"n/a")</f>
        <v>0.0108695652173913</v>
      </c>
      <c r="V9" s="18" t="n">
        <f aca="false">IFERROR(IF(AND(I9&gt;0,C9&gt;0),($O$12)/(C9/I9),"n/a"),"n/a")</f>
        <v>4.68341910737064</v>
      </c>
    </row>
    <row r="10" customFormat="false" ht="15" hidden="false" customHeight="false" outlineLevel="0" collapsed="false">
      <c r="A10" s="13" t="s">
        <v>66</v>
      </c>
      <c r="B10" s="13" t="s">
        <v>67</v>
      </c>
      <c r="C10" s="14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1</v>
      </c>
      <c r="J10" s="14" t="str">
        <f aca="false">IFERROR(C10/G10,"n/a")</f>
        <v>n/a</v>
      </c>
      <c r="K10" s="16" t="str">
        <f aca="false">IFERROR(H10/G10,"n/a")</f>
        <v>n/a</v>
      </c>
      <c r="L10" s="14" t="str">
        <f aca="false">IFERROR(C10/H10,"n/a")</f>
        <v>n/a</v>
      </c>
      <c r="M10" s="16" t="str">
        <f aca="false">IFERROR(I10/G10,"n/a")</f>
        <v>n/a</v>
      </c>
      <c r="N10" s="16" t="str">
        <f aca="false">IFERROR(I10/H10,"n/a")</f>
        <v>n/a</v>
      </c>
      <c r="O10" s="14" t="str">
        <f aca="false">IF(AND(I10&gt;0,C10&gt;0),C10/I10,"n/a")</f>
        <v>n/a</v>
      </c>
      <c r="P10" s="17" t="str">
        <f aca="false">IFERROR(F10/D10,"n/a")</f>
        <v>n/a</v>
      </c>
      <c r="Q10" s="14" t="str">
        <f aca="false">IFERROR(C10/F10,"n/a")</f>
        <v>n/a</v>
      </c>
      <c r="R10" s="14" t="str">
        <f aca="false">IFERROR(C10/D10*1000,"n/a")</f>
        <v>n/a</v>
      </c>
      <c r="S10" s="18" t="str">
        <f aca="false">IF(E10="","n/a",IFERROR(D10/E10,"n/a"))</f>
        <v>n/a</v>
      </c>
      <c r="T10" s="16" t="n">
        <f aca="false">IFERROR(C10/$C$12,"n/a")</f>
        <v>0</v>
      </c>
      <c r="U10" s="16" t="n">
        <f aca="false">IFERROR(I10/$I$12,"n/a")</f>
        <v>0.0108695652173913</v>
      </c>
      <c r="V10" s="18" t="str">
        <f aca="false">IFERROR(IF(AND(I10&gt;0,C10&gt;0),($O$12)/(C10/I10),"n/a"),"n/a")</f>
        <v>n/a</v>
      </c>
    </row>
    <row r="11" customFormat="false" ht="15" hidden="false" customHeight="false" outlineLevel="0" collapsed="false">
      <c r="A11" s="13" t="s">
        <v>68</v>
      </c>
      <c r="B11" s="13" t="s">
        <v>67</v>
      </c>
      <c r="C11" s="14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9</v>
      </c>
      <c r="J11" s="14" t="str">
        <f aca="false">IFERROR(C11/G11,"n/a")</f>
        <v>n/a</v>
      </c>
      <c r="K11" s="16" t="str">
        <f aca="false">IFERROR(H11/G11,"n/a")</f>
        <v>n/a</v>
      </c>
      <c r="L11" s="14" t="str">
        <f aca="false">IFERROR(C11/H11,"n/a")</f>
        <v>n/a</v>
      </c>
      <c r="M11" s="16" t="str">
        <f aca="false">IFERROR(I11/G11,"n/a")</f>
        <v>n/a</v>
      </c>
      <c r="N11" s="16" t="str">
        <f aca="false">IFERROR(I11/H11,"n/a")</f>
        <v>n/a</v>
      </c>
      <c r="O11" s="14" t="str">
        <f aca="false">IF(AND(I11&gt;0,C11&gt;0),C11/I11,"n/a")</f>
        <v>n/a</v>
      </c>
      <c r="P11" s="17" t="str">
        <f aca="false">IFERROR(F11/D11,"n/a")</f>
        <v>n/a</v>
      </c>
      <c r="Q11" s="14" t="str">
        <f aca="false">IFERROR(C11/F11,"n/a")</f>
        <v>n/a</v>
      </c>
      <c r="R11" s="14" t="str">
        <f aca="false">IFERROR(C11/D11*1000,"n/a")</f>
        <v>n/a</v>
      </c>
      <c r="S11" s="18" t="str">
        <f aca="false">IF(E11="","n/a",IFERROR(D11/E11,"n/a"))</f>
        <v>n/a</v>
      </c>
      <c r="T11" s="16" t="n">
        <f aca="false">IFERROR(C11/$C$12,"n/a")</f>
        <v>0</v>
      </c>
      <c r="U11" s="16" t="n">
        <f aca="false">IFERROR(I11/$I$12,"n/a")</f>
        <v>0.0978260869565217</v>
      </c>
      <c r="V11" s="18" t="str">
        <f aca="false">IFERROR(IF(AND(I11&gt;0,C11&gt;0),($O$12)/(C11/I11),"n/a"),"n/a")</f>
        <v>n/a</v>
      </c>
    </row>
    <row r="12" customFormat="false" ht="15" hidden="false" customHeight="false" outlineLevel="0" collapsed="false">
      <c r="A12" s="19" t="s">
        <v>69</v>
      </c>
      <c r="B12" s="20"/>
      <c r="C12" s="21" t="n">
        <f aca="false">SUM(C5:C11)</f>
        <v>1215764.27</v>
      </c>
      <c r="D12" s="22" t="n">
        <f aca="false">SUM(D5:D11)</f>
        <v>5860053</v>
      </c>
      <c r="E12" s="20"/>
      <c r="F12" s="22" t="n">
        <f aca="false">SUM(F5:F11)</f>
        <v>30870</v>
      </c>
      <c r="G12" s="22" t="n">
        <f aca="false">SUM(G5:G11)</f>
        <v>1693</v>
      </c>
      <c r="H12" s="22" t="n">
        <f aca="false">SUM(H5:H11)</f>
        <v>417</v>
      </c>
      <c r="I12" s="22" t="n">
        <f aca="false">SUM(I5:I11)</f>
        <v>92</v>
      </c>
      <c r="J12" s="21" t="n">
        <f aca="false">IFERROR(C12/G12,"n/a")</f>
        <v>718.112386296515</v>
      </c>
      <c r="K12" s="23" t="n">
        <f aca="false">IFERROR(H12/G12,"n/a")</f>
        <v>0.246308328411105</v>
      </c>
      <c r="L12" s="21" t="n">
        <f aca="false">IFERROR(C12/H12,"n/a")</f>
        <v>2915.50184652278</v>
      </c>
      <c r="M12" s="23" t="n">
        <f aca="false">IFERROR(I12/G12,"n/a")</f>
        <v>0.0543414057885411</v>
      </c>
      <c r="N12" s="23" t="n">
        <f aca="false">IFERROR(I12/H12,"n/a")</f>
        <v>0.220623501199041</v>
      </c>
      <c r="O12" s="21" t="n">
        <f aca="false">IF(AND(I12&gt;0,C12&gt;0),C12/I12,"n/a")</f>
        <v>13214.8290217391</v>
      </c>
      <c r="P12" s="24" t="n">
        <f aca="false">IFERROR(F12/D12,"n/a")</f>
        <v>0.00526787044417516</v>
      </c>
      <c r="Q12" s="21" t="n">
        <f aca="false">IFERROR(C12/F12,"n/a")</f>
        <v>39.383358276644</v>
      </c>
      <c r="R12" s="21" t="n">
        <f aca="false">IFERROR(C12/D12*1000,"n/a")</f>
        <v>207.466429057894</v>
      </c>
      <c r="S12" s="25" t="str">
        <f aca="false">"n/a"</f>
        <v>n/a</v>
      </c>
      <c r="T12" s="23" t="n">
        <f aca="false">IFERROR(C12/$C$12,"n/a")</f>
        <v>1</v>
      </c>
      <c r="U12" s="23" t="n">
        <f aca="false">IFERROR(I12/$I$12,"n/a")</f>
        <v>1</v>
      </c>
      <c r="V12" s="25" t="n">
        <v>1</v>
      </c>
    </row>
    <row r="15" customFormat="false" ht="15" hidden="false" customHeight="false" outlineLevel="0" collapsed="false">
      <c r="A15" s="26" t="s">
        <v>70</v>
      </c>
    </row>
    <row r="16" customFormat="false" ht="15" hidden="false" customHeight="false" outlineLevel="0" collapsed="false">
      <c r="A16" s="13" t="s">
        <v>71</v>
      </c>
      <c r="B16" s="16" t="n">
        <f aca="false">H5/G5</f>
        <v>0.201158940397351</v>
      </c>
    </row>
    <row r="17" customFormat="false" ht="15" hidden="false" customHeight="false" outlineLevel="0" collapsed="false">
      <c r="A17" s="13" t="s">
        <v>72</v>
      </c>
      <c r="B17" s="16" t="n">
        <f aca="false">H6/G6</f>
        <v>0.370588235294118</v>
      </c>
    </row>
    <row r="18" customFormat="false" ht="15" hidden="false" customHeight="false" outlineLevel="0" collapsed="false">
      <c r="A18" s="13" t="s">
        <v>73</v>
      </c>
      <c r="B18" s="16" t="n">
        <f aca="false">(H5+H6)/(G5+G6)</f>
        <v>0.238372093023256</v>
      </c>
    </row>
    <row r="19" customFormat="false" ht="15" hidden="false" customHeight="false" outlineLevel="0" collapsed="false">
      <c r="A19" s="13" t="s">
        <v>74</v>
      </c>
      <c r="B19" s="18" t="n">
        <f aca="false">(B17-B16)/SQRT(B18*(1-B18)*(1/G5+1/G6))</f>
        <v>6.47704361754125</v>
      </c>
    </row>
    <row r="20" customFormat="false" ht="15" hidden="false" customHeight="false" outlineLevel="0" collapsed="false">
      <c r="A20" s="13" t="s">
        <v>75</v>
      </c>
      <c r="B20" s="13" t="str">
        <f aca="false">IF(ABS(B19)&gt;=1.96,"Statistically significant (95%) — gap is real, not noise","Not significant — could be noise")</f>
        <v>Statistically significant (95%) — gap is real, not noise</v>
      </c>
    </row>
    <row r="21" customFormat="false" ht="15" hidden="false" customHeight="false" outlineLevel="0" collapsed="false">
      <c r="A21" s="13" t="s">
        <v>76</v>
      </c>
      <c r="B21" s="16" t="n">
        <f aca="false">I5/H5</f>
        <v>0.127572016460905</v>
      </c>
    </row>
    <row r="22" customFormat="false" ht="15" hidden="false" customHeight="false" outlineLevel="0" collapsed="false">
      <c r="A22" s="13" t="s">
        <v>77</v>
      </c>
      <c r="B22" s="16" t="n">
        <f aca="false">I6/H6</f>
        <v>0.325396825396825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0"/>
    <col collapsed="false" customWidth="true" hidden="false" outlineLevel="0" max="5" min="3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10" min="8" style="0" width="10"/>
    <col collapsed="false" customWidth="true" hidden="false" outlineLevel="0" max="11" min="11" style="0" width="11"/>
    <col collapsed="false" customWidth="true" hidden="false" outlineLevel="0" max="13" min="12" style="0" width="10"/>
    <col collapsed="false" customWidth="true" hidden="false" outlineLevel="0" max="15" min="14" style="0" width="12"/>
    <col collapsed="false" customWidth="true" hidden="false" outlineLevel="0" max="16" min="16" style="0" width="13"/>
    <col collapsed="false" customWidth="true" hidden="false" outlineLevel="0" max="19" min="17" style="0" width="9"/>
    <col collapsed="false" customWidth="true" hidden="false" outlineLevel="0" max="22" min="20" style="0" width="10"/>
    <col collapsed="false" customWidth="true" hidden="false" outlineLevel="0" max="23" min="23" style="0" width="14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42" hidden="false" customHeight="true" outlineLevel="0" collapsed="false">
      <c r="A4" s="12" t="s">
        <v>80</v>
      </c>
      <c r="B4" s="12" t="s">
        <v>81</v>
      </c>
      <c r="C4" s="12" t="s">
        <v>42</v>
      </c>
      <c r="D4" s="12" t="s">
        <v>43</v>
      </c>
      <c r="E4" s="12" t="s">
        <v>44</v>
      </c>
      <c r="F4" s="12" t="s">
        <v>45</v>
      </c>
      <c r="G4" s="12" t="s">
        <v>46</v>
      </c>
      <c r="H4" s="12" t="s">
        <v>3</v>
      </c>
      <c r="I4" s="12" t="s">
        <v>47</v>
      </c>
      <c r="J4" s="12" t="s">
        <v>48</v>
      </c>
      <c r="K4" s="12" t="s">
        <v>49</v>
      </c>
      <c r="L4" s="12" t="s">
        <v>6</v>
      </c>
      <c r="M4" s="12" t="s">
        <v>50</v>
      </c>
      <c r="N4" s="12" t="s">
        <v>9</v>
      </c>
      <c r="O4" s="12" t="s">
        <v>51</v>
      </c>
      <c r="P4" s="12" t="s">
        <v>52</v>
      </c>
      <c r="Q4" s="12" t="s">
        <v>53</v>
      </c>
      <c r="R4" s="12" t="s">
        <v>54</v>
      </c>
      <c r="S4" s="12" t="s">
        <v>55</v>
      </c>
      <c r="T4" s="12" t="s">
        <v>56</v>
      </c>
      <c r="U4" s="12" t="s">
        <v>57</v>
      </c>
      <c r="V4" s="12" t="s">
        <v>58</v>
      </c>
      <c r="W4" s="12" t="s">
        <v>59</v>
      </c>
    </row>
    <row r="5" customFormat="false" ht="15" hidden="false" customHeight="false" outlineLevel="0" collapsed="false">
      <c r="A5" s="13" t="s">
        <v>82</v>
      </c>
      <c r="B5" s="13" t="s">
        <v>60</v>
      </c>
      <c r="C5" s="13" t="s">
        <v>61</v>
      </c>
      <c r="D5" s="14" t="n">
        <v>443840.57</v>
      </c>
      <c r="E5" s="15" t="n">
        <v>2999156</v>
      </c>
      <c r="F5" s="15" t="n">
        <v>1180535</v>
      </c>
      <c r="G5" s="15" t="n">
        <v>15324</v>
      </c>
      <c r="H5" s="15" t="n">
        <v>860</v>
      </c>
      <c r="I5" s="15" t="n">
        <v>167</v>
      </c>
      <c r="J5" s="15" t="n">
        <v>15</v>
      </c>
      <c r="K5" s="14" t="n">
        <f aca="false">IFERROR(D5/H5,"n/a")</f>
        <v>516.093686046512</v>
      </c>
      <c r="L5" s="16" t="n">
        <f aca="false">IFERROR(I5/H5,"n/a")</f>
        <v>0.194186046511628</v>
      </c>
      <c r="M5" s="14" t="n">
        <f aca="false">IFERROR(D5/I5,"n/a")</f>
        <v>2657.72796407186</v>
      </c>
      <c r="N5" s="16" t="n">
        <f aca="false">IFERROR(J5/H5,"n/a")</f>
        <v>0.0174418604651163</v>
      </c>
      <c r="O5" s="16" t="n">
        <f aca="false">IFERROR(J5/I5,"n/a")</f>
        <v>0.0898203592814371</v>
      </c>
      <c r="P5" s="14" t="n">
        <f aca="false">IF(AND(J5&gt;0,D5&gt;0),D5/J5,"n/a")</f>
        <v>29589.3713333333</v>
      </c>
      <c r="Q5" s="17" t="n">
        <f aca="false">IFERROR(G5/E5,"n/a")</f>
        <v>0.00510943745507069</v>
      </c>
      <c r="R5" s="14" t="n">
        <f aca="false">IFERROR(D5/G5,"n/a")</f>
        <v>28.9637542417123</v>
      </c>
      <c r="S5" s="14" t="n">
        <f aca="false">IFERROR(D5/E5*1000,"n/a")</f>
        <v>147.988490762068</v>
      </c>
      <c r="T5" s="18" t="n">
        <f aca="false">IF(F5="","n/a",IFERROR(E5/F5,"n/a"))</f>
        <v>2.54050578763018</v>
      </c>
      <c r="U5" s="16" t="n">
        <f aca="false">IFERROR(D5/$D$16,"n/a")</f>
        <v>0.365071240331812</v>
      </c>
      <c r="V5" s="16" t="n">
        <f aca="false">IFERROR(J5/$J$16,"n/a")</f>
        <v>0.16304347826087</v>
      </c>
      <c r="W5" s="18" t="n">
        <f aca="false">IFERROR(IF(AND(J5&gt;0,D5&gt;0),($P$16)/(D5/J5),"n/a"),"n/a")</f>
        <v>0.446607292627817</v>
      </c>
    </row>
    <row r="6" customFormat="false" ht="15" hidden="false" customHeight="false" outlineLevel="0" collapsed="false">
      <c r="A6" s="13" t="s">
        <v>83</v>
      </c>
      <c r="B6" s="13" t="s">
        <v>62</v>
      </c>
      <c r="C6" s="13" t="s">
        <v>61</v>
      </c>
      <c r="D6" s="14" t="n">
        <v>330784.95</v>
      </c>
      <c r="E6" s="15" t="n">
        <v>856408</v>
      </c>
      <c r="F6" s="15" t="n">
        <v>366715</v>
      </c>
      <c r="G6" s="15" t="n">
        <v>5006</v>
      </c>
      <c r="H6" s="15" t="n">
        <v>325</v>
      </c>
      <c r="I6" s="15" t="n">
        <v>115</v>
      </c>
      <c r="J6" s="15" t="n">
        <v>35</v>
      </c>
      <c r="K6" s="14" t="n">
        <f aca="false">IFERROR(D6/H6,"n/a")</f>
        <v>1017.79984615385</v>
      </c>
      <c r="L6" s="16" t="n">
        <f aca="false">IFERROR(I6/H6,"n/a")</f>
        <v>0.353846153846154</v>
      </c>
      <c r="M6" s="14" t="n">
        <f aca="false">IFERROR(D6/I6,"n/a")</f>
        <v>2876.39086956522</v>
      </c>
      <c r="N6" s="16" t="n">
        <f aca="false">IFERROR(J6/H6,"n/a")</f>
        <v>0.107692307692308</v>
      </c>
      <c r="O6" s="16" t="n">
        <f aca="false">IFERROR(J6/I6,"n/a")</f>
        <v>0.304347826086957</v>
      </c>
      <c r="P6" s="14" t="n">
        <f aca="false">IF(AND(J6&gt;0,D6&gt;0),D6/J6,"n/a")</f>
        <v>9450.99857142857</v>
      </c>
      <c r="Q6" s="17" t="n">
        <f aca="false">IFERROR(G6/E6,"n/a")</f>
        <v>0.00584534474222567</v>
      </c>
      <c r="R6" s="14" t="n">
        <f aca="false">IFERROR(D6/G6,"n/a")</f>
        <v>66.0776967638833</v>
      </c>
      <c r="S6" s="14" t="n">
        <f aca="false">IFERROR(D6/E6*1000,"n/a")</f>
        <v>386.246917357148</v>
      </c>
      <c r="T6" s="18" t="n">
        <f aca="false">IF(F6="","n/a",IFERROR(E6/F6,"n/a"))</f>
        <v>2.33535034018243</v>
      </c>
      <c r="U6" s="16" t="n">
        <f aca="false">IFERROR(D6/$D$16,"n/a")</f>
        <v>0.272079841596266</v>
      </c>
      <c r="V6" s="16" t="n">
        <f aca="false">IFERROR(J6/$J$16,"n/a")</f>
        <v>0.380434782608696</v>
      </c>
      <c r="W6" s="18" t="n">
        <f aca="false">IFERROR(IF(AND(J6&gt;0,D6&gt;0),($P$16)/(D6/J6),"n/a"),"n/a")</f>
        <v>1.39824685422015</v>
      </c>
    </row>
    <row r="7" customFormat="false" ht="15" hidden="false" customHeight="false" outlineLevel="0" collapsed="false">
      <c r="A7" s="13" t="s">
        <v>84</v>
      </c>
      <c r="B7" s="13" t="s">
        <v>60</v>
      </c>
      <c r="C7" s="13" t="s">
        <v>61</v>
      </c>
      <c r="D7" s="14" t="n">
        <v>229018.3</v>
      </c>
      <c r="E7" s="15" t="n">
        <v>1577811</v>
      </c>
      <c r="F7" s="15" t="n">
        <v>790322</v>
      </c>
      <c r="G7" s="15" t="n">
        <v>7499</v>
      </c>
      <c r="H7" s="15" t="n">
        <v>348</v>
      </c>
      <c r="I7" s="15" t="n">
        <v>76</v>
      </c>
      <c r="J7" s="15" t="n">
        <v>16</v>
      </c>
      <c r="K7" s="14" t="n">
        <f aca="false">IFERROR(D7/H7,"n/a")</f>
        <v>658.098563218391</v>
      </c>
      <c r="L7" s="16" t="n">
        <f aca="false">IFERROR(I7/H7,"n/a")</f>
        <v>0.218390804597701</v>
      </c>
      <c r="M7" s="14" t="n">
        <f aca="false">IFERROR(D7/I7,"n/a")</f>
        <v>3013.39868421053</v>
      </c>
      <c r="N7" s="16" t="n">
        <f aca="false">IFERROR(J7/H7,"n/a")</f>
        <v>0.0459770114942529</v>
      </c>
      <c r="O7" s="16" t="n">
        <f aca="false">IFERROR(J7/I7,"n/a")</f>
        <v>0.210526315789474</v>
      </c>
      <c r="P7" s="14" t="n">
        <f aca="false">IF(AND(J7&gt;0,D7&gt;0),D7/J7,"n/a")</f>
        <v>14313.64375</v>
      </c>
      <c r="Q7" s="17" t="n">
        <f aca="false">IFERROR(G7/E7,"n/a")</f>
        <v>0.0047527872476488</v>
      </c>
      <c r="R7" s="14" t="n">
        <f aca="false">IFERROR(D7/G7,"n/a")</f>
        <v>30.5398453127084</v>
      </c>
      <c r="S7" s="14" t="n">
        <f aca="false">IFERROR(D7/E7*1000,"n/a")</f>
        <v>145.149387347407</v>
      </c>
      <c r="T7" s="18" t="n">
        <f aca="false">IF(F7="","n/a",IFERROR(E7/F7,"n/a"))</f>
        <v>1.99641538512151</v>
      </c>
      <c r="U7" s="16" t="n">
        <f aca="false">IFERROR(D7/$D$16,"n/a")</f>
        <v>0.188373935351793</v>
      </c>
      <c r="V7" s="16" t="n">
        <f aca="false">IFERROR(J7/$J$16,"n/a")</f>
        <v>0.173913043478261</v>
      </c>
      <c r="W7" s="18" t="n">
        <f aca="false">IFERROR(IF(AND(J7&gt;0,D7&gt;0),($P$16)/(D7/J7),"n/a"),"n/a")</f>
        <v>0.923233053200666</v>
      </c>
    </row>
    <row r="8" customFormat="false" ht="15" hidden="false" customHeight="false" outlineLevel="0" collapsed="false">
      <c r="A8" s="13" t="s">
        <v>85</v>
      </c>
      <c r="B8" s="13" t="s">
        <v>63</v>
      </c>
      <c r="C8" s="13" t="s">
        <v>61</v>
      </c>
      <c r="D8" s="14" t="n">
        <v>194123.34</v>
      </c>
      <c r="E8" s="15" t="n">
        <v>390794</v>
      </c>
      <c r="F8" s="15" t="n">
        <v>221625</v>
      </c>
      <c r="G8" s="15" t="n">
        <v>2781</v>
      </c>
      <c r="H8" s="15" t="n">
        <v>139</v>
      </c>
      <c r="I8" s="15" t="n">
        <v>46</v>
      </c>
      <c r="J8" s="15" t="n">
        <v>9</v>
      </c>
      <c r="K8" s="14" t="n">
        <f aca="false">IFERROR(D8/H8,"n/a")</f>
        <v>1396.57079136691</v>
      </c>
      <c r="L8" s="16" t="n">
        <f aca="false">IFERROR(I8/H8,"n/a")</f>
        <v>0.330935251798561</v>
      </c>
      <c r="M8" s="14" t="n">
        <f aca="false">IFERROR(D8/I8,"n/a")</f>
        <v>4220.07260869565</v>
      </c>
      <c r="N8" s="16" t="n">
        <f aca="false">IFERROR(J8/H8,"n/a")</f>
        <v>0.0647482014388489</v>
      </c>
      <c r="O8" s="16" t="n">
        <f aca="false">IFERROR(J8/I8,"n/a")</f>
        <v>0.195652173913044</v>
      </c>
      <c r="P8" s="14" t="n">
        <f aca="false">IF(AND(J8&gt;0,D8&gt;0),D8/J8,"n/a")</f>
        <v>21569.26</v>
      </c>
      <c r="Q8" s="17" t="n">
        <f aca="false">IFERROR(G8/E8,"n/a")</f>
        <v>0.0071162812120964</v>
      </c>
      <c r="R8" s="14" t="n">
        <f aca="false">IFERROR(D8/G8,"n/a")</f>
        <v>69.803430420712</v>
      </c>
      <c r="S8" s="14" t="n">
        <f aca="false">IFERROR(D8/E8*1000,"n/a")</f>
        <v>496.740840442791</v>
      </c>
      <c r="T8" s="18" t="n">
        <f aca="false">IF(F8="","n/a",IFERROR(E8/F8,"n/a"))</f>
        <v>1.76331190073322</v>
      </c>
      <c r="U8" s="16" t="n">
        <f aca="false">IFERROR(D8/$D$16,"n/a")</f>
        <v>0.159671858097952</v>
      </c>
      <c r="V8" s="16" t="n">
        <f aca="false">IFERROR(J8/$J$16,"n/a")</f>
        <v>0.0978260869565217</v>
      </c>
      <c r="W8" s="18" t="n">
        <f aca="false">IFERROR(IF(AND(J8&gt;0,D8&gt;0),($P$16)/(D8/J8),"n/a"),"n/a")</f>
        <v>0.61266955944428</v>
      </c>
    </row>
    <row r="9" customFormat="false" ht="15" hidden="false" customHeight="false" outlineLevel="0" collapsed="false">
      <c r="A9" s="13" t="s">
        <v>86</v>
      </c>
      <c r="B9" s="13" t="s">
        <v>62</v>
      </c>
      <c r="C9" s="13" t="s">
        <v>61</v>
      </c>
      <c r="D9" s="14" t="n">
        <v>7962.14</v>
      </c>
      <c r="E9" s="15" t="n">
        <v>6301</v>
      </c>
      <c r="F9" s="15" t="n">
        <v>2549</v>
      </c>
      <c r="G9" s="15" t="n">
        <v>60</v>
      </c>
      <c r="H9" s="15" t="n">
        <v>15</v>
      </c>
      <c r="I9" s="15" t="n">
        <v>11</v>
      </c>
      <c r="J9" s="15" t="n">
        <v>6</v>
      </c>
      <c r="K9" s="14" t="n">
        <f aca="false">IFERROR(D9/H9,"n/a")</f>
        <v>530.809333333333</v>
      </c>
      <c r="L9" s="16" t="n">
        <f aca="false">IFERROR(I9/H9,"n/a")</f>
        <v>0.733333333333333</v>
      </c>
      <c r="M9" s="14" t="n">
        <f aca="false">IFERROR(D9/I9,"n/a")</f>
        <v>723.830909090909</v>
      </c>
      <c r="N9" s="16" t="n">
        <f aca="false">IFERROR(J9/H9,"n/a")</f>
        <v>0.4</v>
      </c>
      <c r="O9" s="16" t="n">
        <f aca="false">IFERROR(J9/I9,"n/a")</f>
        <v>0.545454545454545</v>
      </c>
      <c r="P9" s="14" t="n">
        <f aca="false">IF(AND(J9&gt;0,D9&gt;0),D9/J9,"n/a")</f>
        <v>1327.02333333333</v>
      </c>
      <c r="Q9" s="17" t="n">
        <f aca="false">IFERROR(G9/E9,"n/a")</f>
        <v>0.0095222980479289</v>
      </c>
      <c r="R9" s="14" t="n">
        <f aca="false">IFERROR(D9/G9,"n/a")</f>
        <v>132.702333333333</v>
      </c>
      <c r="S9" s="14" t="n">
        <f aca="false">IFERROR(D9/E9*1000,"n/a")</f>
        <v>1263.63116965561</v>
      </c>
      <c r="T9" s="18" t="n">
        <f aca="false">IF(F9="","n/a",IFERROR(E9/F9,"n/a"))</f>
        <v>2.47194978422911</v>
      </c>
      <c r="U9" s="16" t="n">
        <f aca="false">IFERROR(D9/$D$16,"n/a")</f>
        <v>0.00654908208480251</v>
      </c>
      <c r="V9" s="16" t="n">
        <f aca="false">IFERROR(J9/$J$16,"n/a")</f>
        <v>0.0652173913043478</v>
      </c>
      <c r="W9" s="18" t="n">
        <f aca="false">IFERROR(IF(AND(J9&gt;0,D9&gt;0),($P$16)/(D9/J9),"n/a"),"n/a")</f>
        <v>9.95824918055131</v>
      </c>
    </row>
    <row r="10" customFormat="false" ht="15" hidden="false" customHeight="false" outlineLevel="0" collapsed="false">
      <c r="A10" s="13" t="s">
        <v>87</v>
      </c>
      <c r="B10" s="13" t="s">
        <v>65</v>
      </c>
      <c r="C10" s="13" t="s">
        <v>61</v>
      </c>
      <c r="D10" s="14" t="n">
        <v>2821.62</v>
      </c>
      <c r="E10" s="15" t="n">
        <v>10131</v>
      </c>
      <c r="F10" s="15" t="n">
        <v>4306</v>
      </c>
      <c r="G10" s="15" t="n">
        <v>116</v>
      </c>
      <c r="H10" s="15" t="n">
        <v>6</v>
      </c>
      <c r="I10" s="15" t="n">
        <v>2</v>
      </c>
      <c r="J10" s="15" t="n">
        <v>1</v>
      </c>
      <c r="K10" s="14" t="n">
        <f aca="false">IFERROR(D10/H10,"n/a")</f>
        <v>470.27</v>
      </c>
      <c r="L10" s="16" t="n">
        <f aca="false">IFERROR(I10/H10,"n/a")</f>
        <v>0.333333333333333</v>
      </c>
      <c r="M10" s="14" t="n">
        <f aca="false">IFERROR(D10/I10,"n/a")</f>
        <v>1410.81</v>
      </c>
      <c r="N10" s="16" t="n">
        <f aca="false">IFERROR(J10/H10,"n/a")</f>
        <v>0.166666666666667</v>
      </c>
      <c r="O10" s="16" t="n">
        <f aca="false">IFERROR(J10/I10,"n/a")</f>
        <v>0.5</v>
      </c>
      <c r="P10" s="14" t="n">
        <f aca="false">IF(AND(J10&gt;0,D10&gt;0),D10/J10,"n/a")</f>
        <v>2821.62</v>
      </c>
      <c r="Q10" s="17" t="n">
        <f aca="false">IFERROR(G10/E10,"n/a")</f>
        <v>0.011450004935347</v>
      </c>
      <c r="R10" s="14" t="n">
        <f aca="false">IFERROR(D10/G10,"n/a")</f>
        <v>24.3243103448276</v>
      </c>
      <c r="S10" s="14" t="n">
        <f aca="false">IFERROR(D10/E10*1000,"n/a")</f>
        <v>278.513473497187</v>
      </c>
      <c r="T10" s="18" t="n">
        <f aca="false">IF(F10="","n/a",IFERROR(E10/F10,"n/a"))</f>
        <v>2.35276358569438</v>
      </c>
      <c r="U10" s="16" t="n">
        <f aca="false">IFERROR(D10/$D$16,"n/a")</f>
        <v>0.00232086109916686</v>
      </c>
      <c r="V10" s="16" t="n">
        <f aca="false">IFERROR(J10/$J$16,"n/a")</f>
        <v>0.0108695652173913</v>
      </c>
      <c r="W10" s="18" t="n">
        <f aca="false">IFERROR(IF(AND(J10&gt;0,D10&gt;0),($P$16)/(D10/J10),"n/a"),"n/a")</f>
        <v>4.68341910737064</v>
      </c>
    </row>
    <row r="11" customFormat="false" ht="15" hidden="false" customHeight="false" outlineLevel="0" collapsed="false">
      <c r="A11" s="13" t="s">
        <v>88</v>
      </c>
      <c r="B11" s="13" t="s">
        <v>64</v>
      </c>
      <c r="C11" s="13" t="s">
        <v>61</v>
      </c>
      <c r="D11" s="14" t="n">
        <v>2801.24</v>
      </c>
      <c r="E11" s="15" t="n">
        <v>7539</v>
      </c>
      <c r="F11" s="15" t="n">
        <v>1185</v>
      </c>
      <c r="G11" s="15" t="n">
        <v>48</v>
      </c>
      <c r="H11" s="15" t="n">
        <v>0</v>
      </c>
      <c r="I11" s="15" t="n">
        <v>0</v>
      </c>
      <c r="J11" s="15" t="n">
        <v>0</v>
      </c>
      <c r="K11" s="14" t="str">
        <f aca="false">IFERROR(D11/H11,"n/a")</f>
        <v>n/a</v>
      </c>
      <c r="L11" s="16" t="str">
        <f aca="false">IFERROR(I11/H11,"n/a")</f>
        <v>n/a</v>
      </c>
      <c r="M11" s="14" t="str">
        <f aca="false">IFERROR(D11/I11,"n/a")</f>
        <v>n/a</v>
      </c>
      <c r="N11" s="16" t="str">
        <f aca="false">IFERROR(J11/H11,"n/a")</f>
        <v>n/a</v>
      </c>
      <c r="O11" s="16" t="str">
        <f aca="false">IFERROR(J11/I11,"n/a")</f>
        <v>n/a</v>
      </c>
      <c r="P11" s="14" t="str">
        <f aca="false">IF(AND(J11&gt;0,D11&gt;0),D11/J11,"n/a")</f>
        <v>n/a</v>
      </c>
      <c r="Q11" s="17" t="n">
        <f aca="false">IFERROR(G11/E11,"n/a")</f>
        <v>0.00636689216076403</v>
      </c>
      <c r="R11" s="14" t="n">
        <f aca="false">IFERROR(D11/G11,"n/a")</f>
        <v>58.3591666666667</v>
      </c>
      <c r="S11" s="14" t="n">
        <f aca="false">IFERROR(D11/E11*1000,"n/a")</f>
        <v>371.566520758721</v>
      </c>
      <c r="T11" s="18" t="n">
        <f aca="false">IF(F11="","n/a",IFERROR(E11/F11,"n/a"))</f>
        <v>6.3620253164557</v>
      </c>
      <c r="U11" s="16" t="n">
        <f aca="false">IFERROR(D11/$D$16,"n/a")</f>
        <v>0.00230409798109958</v>
      </c>
      <c r="V11" s="16" t="n">
        <f aca="false">IFERROR(J11/$J$16,"n/a")</f>
        <v>0</v>
      </c>
      <c r="W11" s="18" t="str">
        <f aca="false">IFERROR(IF(AND(J11&gt;0,D11&gt;0),($P$16)/(D11/J11),"n/a"),"n/a")</f>
        <v>n/a</v>
      </c>
    </row>
    <row r="12" customFormat="false" ht="15" hidden="false" customHeight="false" outlineLevel="0" collapsed="false">
      <c r="A12" s="13" t="s">
        <v>89</v>
      </c>
      <c r="B12" s="13" t="s">
        <v>64</v>
      </c>
      <c r="C12" s="13" t="s">
        <v>61</v>
      </c>
      <c r="D12" s="14" t="n">
        <v>2793.17</v>
      </c>
      <c r="E12" s="15" t="n">
        <v>10146</v>
      </c>
      <c r="F12" s="15" t="n">
        <v>1442</v>
      </c>
      <c r="G12" s="15" t="n">
        <v>31</v>
      </c>
      <c r="H12" s="15" t="n">
        <v>0</v>
      </c>
      <c r="I12" s="15" t="n">
        <v>0</v>
      </c>
      <c r="J12" s="15" t="n">
        <v>0</v>
      </c>
      <c r="K12" s="14" t="str">
        <f aca="false">IFERROR(D12/H12,"n/a")</f>
        <v>n/a</v>
      </c>
      <c r="L12" s="16" t="str">
        <f aca="false">IFERROR(I12/H12,"n/a")</f>
        <v>n/a</v>
      </c>
      <c r="M12" s="14" t="str">
        <f aca="false">IFERROR(D12/I12,"n/a")</f>
        <v>n/a</v>
      </c>
      <c r="N12" s="16" t="str">
        <f aca="false">IFERROR(J12/H12,"n/a")</f>
        <v>n/a</v>
      </c>
      <c r="O12" s="16" t="str">
        <f aca="false">IFERROR(J12/I12,"n/a")</f>
        <v>n/a</v>
      </c>
      <c r="P12" s="14" t="str">
        <f aca="false">IF(AND(J12&gt;0,D12&gt;0),D12/J12,"n/a")</f>
        <v>n/a</v>
      </c>
      <c r="Q12" s="17" t="n">
        <f aca="false">IFERROR(G12/E12,"n/a")</f>
        <v>0.00305539128720678</v>
      </c>
      <c r="R12" s="14" t="n">
        <f aca="false">IFERROR(D12/G12,"n/a")</f>
        <v>90.1022580645161</v>
      </c>
      <c r="S12" s="14" t="n">
        <f aca="false">IFERROR(D12/E12*1000,"n/a")</f>
        <v>275.29765424798</v>
      </c>
      <c r="T12" s="18" t="n">
        <f aca="false">IF(F12="","n/a",IFERROR(E12/F12,"n/a"))</f>
        <v>7.03606102635229</v>
      </c>
      <c r="U12" s="16" t="n">
        <f aca="false">IFERROR(D12/$D$16,"n/a")</f>
        <v>0.00229746018115831</v>
      </c>
      <c r="V12" s="16" t="n">
        <f aca="false">IFERROR(J12/$J$16,"n/a")</f>
        <v>0</v>
      </c>
      <c r="W12" s="18" t="str">
        <f aca="false">IFERROR(IF(AND(J12&gt;0,D12&gt;0),($P$16)/(D12/J12),"n/a"),"n/a")</f>
        <v>n/a</v>
      </c>
    </row>
    <row r="13" customFormat="false" ht="15" hidden="false" customHeight="false" outlineLevel="0" collapsed="false">
      <c r="A13" s="13" t="s">
        <v>90</v>
      </c>
      <c r="B13" s="13" t="s">
        <v>64</v>
      </c>
      <c r="C13" s="13" t="s">
        <v>61</v>
      </c>
      <c r="D13" s="14" t="n">
        <v>1618.94</v>
      </c>
      <c r="E13" s="15" t="n">
        <v>1767</v>
      </c>
      <c r="F13" s="15" t="n">
        <v>104</v>
      </c>
      <c r="G13" s="15" t="n">
        <v>5</v>
      </c>
      <c r="H13" s="15" t="n">
        <v>0</v>
      </c>
      <c r="I13" s="15" t="n">
        <v>0</v>
      </c>
      <c r="J13" s="15" t="n">
        <v>0</v>
      </c>
      <c r="K13" s="14" t="str">
        <f aca="false">IFERROR(D13/H13,"n/a")</f>
        <v>n/a</v>
      </c>
      <c r="L13" s="16" t="str">
        <f aca="false">IFERROR(I13/H13,"n/a")</f>
        <v>n/a</v>
      </c>
      <c r="M13" s="14" t="str">
        <f aca="false">IFERROR(D13/I13,"n/a")</f>
        <v>n/a</v>
      </c>
      <c r="N13" s="16" t="str">
        <f aca="false">IFERROR(J13/H13,"n/a")</f>
        <v>n/a</v>
      </c>
      <c r="O13" s="16" t="str">
        <f aca="false">IFERROR(J13/I13,"n/a")</f>
        <v>n/a</v>
      </c>
      <c r="P13" s="14" t="str">
        <f aca="false">IF(AND(J13&gt;0,D13&gt;0),D13/J13,"n/a")</f>
        <v>n/a</v>
      </c>
      <c r="Q13" s="17" t="n">
        <f aca="false">IFERROR(G13/E13,"n/a")</f>
        <v>0.00282965478211658</v>
      </c>
      <c r="R13" s="14" t="n">
        <f aca="false">IFERROR(D13/G13,"n/a")</f>
        <v>323.788</v>
      </c>
      <c r="S13" s="14" t="n">
        <f aca="false">IFERROR(D13/E13*1000,"n/a")</f>
        <v>916.208262591964</v>
      </c>
      <c r="T13" s="18" t="n">
        <f aca="false">IF(F13="","n/a",IFERROR(E13/F13,"n/a"))</f>
        <v>16.9903846153846</v>
      </c>
      <c r="U13" s="16" t="n">
        <f aca="false">IFERROR(D13/$D$16,"n/a")</f>
        <v>0.0013316232759497</v>
      </c>
      <c r="V13" s="16" t="n">
        <f aca="false">IFERROR(J13/$J$16,"n/a")</f>
        <v>0</v>
      </c>
      <c r="W13" s="18" t="str">
        <f aca="false">IFERROR(IF(AND(J13&gt;0,D13&gt;0),($P$16)/(D13/J13),"n/a"),"n/a")</f>
        <v>n/a</v>
      </c>
    </row>
    <row r="14" customFormat="false" ht="15" hidden="false" customHeight="false" outlineLevel="0" collapsed="false">
      <c r="A14" s="13" t="s">
        <v>91</v>
      </c>
      <c r="B14" s="13" t="s">
        <v>66</v>
      </c>
      <c r="C14" s="13" t="s">
        <v>92</v>
      </c>
      <c r="D14" s="14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1</v>
      </c>
      <c r="K14" s="14" t="str">
        <f aca="false">IFERROR(D14/H14,"n/a")</f>
        <v>n/a</v>
      </c>
      <c r="L14" s="16" t="str">
        <f aca="false">IFERROR(I14/H14,"n/a")</f>
        <v>n/a</v>
      </c>
      <c r="M14" s="14" t="str">
        <f aca="false">IFERROR(D14/I14,"n/a")</f>
        <v>n/a</v>
      </c>
      <c r="N14" s="16" t="str">
        <f aca="false">IFERROR(J14/H14,"n/a")</f>
        <v>n/a</v>
      </c>
      <c r="O14" s="16" t="str">
        <f aca="false">IFERROR(J14/I14,"n/a")</f>
        <v>n/a</v>
      </c>
      <c r="P14" s="14" t="str">
        <f aca="false">IF(AND(J14&gt;0,D14&gt;0),D14/J14,"n/a")</f>
        <v>n/a</v>
      </c>
      <c r="Q14" s="17" t="str">
        <f aca="false">IFERROR(G14/E14,"n/a")</f>
        <v>n/a</v>
      </c>
      <c r="R14" s="14" t="str">
        <f aca="false">IFERROR(D14/G14,"n/a")</f>
        <v>n/a</v>
      </c>
      <c r="S14" s="14" t="str">
        <f aca="false">IFERROR(D14/E14*1000,"n/a")</f>
        <v>n/a</v>
      </c>
      <c r="T14" s="18" t="str">
        <f aca="false">IF(F14="","n/a",IFERROR(E14/F14,"n/a"))</f>
        <v>n/a</v>
      </c>
      <c r="U14" s="16" t="n">
        <f aca="false">IFERROR(D14/$D$16,"n/a")</f>
        <v>0</v>
      </c>
      <c r="V14" s="16" t="n">
        <f aca="false">IFERROR(J14/$J$16,"n/a")</f>
        <v>0.0108695652173913</v>
      </c>
      <c r="W14" s="18" t="str">
        <f aca="false">IFERROR(IF(AND(J14&gt;0,D14&gt;0),($P$16)/(D14/J14),"n/a"),"n/a")</f>
        <v>n/a</v>
      </c>
    </row>
    <row r="15" customFormat="false" ht="15" hidden="false" customHeight="false" outlineLevel="0" collapsed="false">
      <c r="A15" s="13" t="s">
        <v>93</v>
      </c>
      <c r="B15" s="13" t="s">
        <v>68</v>
      </c>
      <c r="C15" s="13" t="s">
        <v>92</v>
      </c>
      <c r="D15" s="14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9</v>
      </c>
      <c r="K15" s="14" t="str">
        <f aca="false">IFERROR(D15/H15,"n/a")</f>
        <v>n/a</v>
      </c>
      <c r="L15" s="16" t="str">
        <f aca="false">IFERROR(I15/H15,"n/a")</f>
        <v>n/a</v>
      </c>
      <c r="M15" s="14" t="str">
        <f aca="false">IFERROR(D15/I15,"n/a")</f>
        <v>n/a</v>
      </c>
      <c r="N15" s="16" t="str">
        <f aca="false">IFERROR(J15/H15,"n/a")</f>
        <v>n/a</v>
      </c>
      <c r="O15" s="16" t="str">
        <f aca="false">IFERROR(J15/I15,"n/a")</f>
        <v>n/a</v>
      </c>
      <c r="P15" s="14" t="str">
        <f aca="false">IF(AND(J15&gt;0,D15&gt;0),D15/J15,"n/a")</f>
        <v>n/a</v>
      </c>
      <c r="Q15" s="17" t="str">
        <f aca="false">IFERROR(G15/E15,"n/a")</f>
        <v>n/a</v>
      </c>
      <c r="R15" s="14" t="str">
        <f aca="false">IFERROR(D15/G15,"n/a")</f>
        <v>n/a</v>
      </c>
      <c r="S15" s="14" t="str">
        <f aca="false">IFERROR(D15/E15*1000,"n/a")</f>
        <v>n/a</v>
      </c>
      <c r="T15" s="18" t="str">
        <f aca="false">IF(F15="","n/a",IFERROR(E15/F15,"n/a"))</f>
        <v>n/a</v>
      </c>
      <c r="U15" s="16" t="n">
        <f aca="false">IFERROR(D15/$D$16,"n/a")</f>
        <v>0</v>
      </c>
      <c r="V15" s="16" t="n">
        <f aca="false">IFERROR(J15/$J$16,"n/a")</f>
        <v>0.0978260869565217</v>
      </c>
      <c r="W15" s="18" t="str">
        <f aca="false">IFERROR(IF(AND(J15&gt;0,D15&gt;0),($P$16)/(D15/J15),"n/a"),"n/a")</f>
        <v>n/a</v>
      </c>
    </row>
    <row r="16" customFormat="false" ht="15" hidden="false" customHeight="false" outlineLevel="0" collapsed="false">
      <c r="A16" s="19" t="s">
        <v>69</v>
      </c>
      <c r="B16" s="20"/>
      <c r="C16" s="20"/>
      <c r="D16" s="21" t="n">
        <f aca="false">SUM(D5:D15)</f>
        <v>1215764.27</v>
      </c>
      <c r="E16" s="22" t="n">
        <f aca="false">SUM(E5:E15)</f>
        <v>5860053</v>
      </c>
      <c r="F16" s="20"/>
      <c r="G16" s="22" t="n">
        <f aca="false">SUM(G5:G15)</f>
        <v>30870</v>
      </c>
      <c r="H16" s="22" t="n">
        <f aca="false">SUM(H5:H15)</f>
        <v>1693</v>
      </c>
      <c r="I16" s="22" t="n">
        <f aca="false">SUM(I5:I15)</f>
        <v>417</v>
      </c>
      <c r="J16" s="22" t="n">
        <f aca="false">SUM(J5:J15)</f>
        <v>92</v>
      </c>
      <c r="K16" s="21" t="n">
        <f aca="false">IFERROR(D16/H16,"n/a")</f>
        <v>718.112386296515</v>
      </c>
      <c r="L16" s="23" t="n">
        <f aca="false">IFERROR(I16/H16,"n/a")</f>
        <v>0.246308328411105</v>
      </c>
      <c r="M16" s="21" t="n">
        <f aca="false">IFERROR(D16/I16,"n/a")</f>
        <v>2915.50184652278</v>
      </c>
      <c r="N16" s="23" t="n">
        <f aca="false">IFERROR(J16/H16,"n/a")</f>
        <v>0.0543414057885411</v>
      </c>
      <c r="O16" s="23" t="n">
        <f aca="false">IFERROR(J16/I16,"n/a")</f>
        <v>0.220623501199041</v>
      </c>
      <c r="P16" s="21" t="n">
        <f aca="false">IF(AND(J16&gt;0,D16&gt;0),D16/J16,"n/a")</f>
        <v>13214.8290217391</v>
      </c>
      <c r="Q16" s="24" t="n">
        <f aca="false">IFERROR(G16/E16,"n/a")</f>
        <v>0.00526787044417516</v>
      </c>
      <c r="R16" s="21" t="n">
        <f aca="false">IFERROR(D16/G16,"n/a")</f>
        <v>39.383358276644</v>
      </c>
      <c r="S16" s="21" t="n">
        <f aca="false">IFERROR(D16/E16*1000,"n/a")</f>
        <v>207.466429057894</v>
      </c>
      <c r="T16" s="25" t="str">
        <f aca="false">"n/a"</f>
        <v>n/a</v>
      </c>
      <c r="U16" s="23" t="n">
        <f aca="false">IFERROR(D16/$D$16,"n/a")</f>
        <v>1</v>
      </c>
      <c r="V16" s="23" t="n">
        <f aca="false">IFERROR(J16/$J$16,"n/a")</f>
        <v>1</v>
      </c>
      <c r="W16" s="25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40"/>
    <col collapsed="false" customWidth="true" hidden="false" outlineLevel="0" max="6" min="4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1" min="9" style="0" width="10"/>
    <col collapsed="false" customWidth="true" hidden="false" outlineLevel="0" max="12" min="12" style="0" width="11"/>
    <col collapsed="false" customWidth="true" hidden="false" outlineLevel="0" max="14" min="13" style="0" width="10"/>
    <col collapsed="false" customWidth="true" hidden="false" outlineLevel="0" max="16" min="15" style="0" width="12"/>
    <col collapsed="false" customWidth="true" hidden="false" outlineLevel="0" max="17" min="17" style="0" width="13"/>
    <col collapsed="false" customWidth="true" hidden="false" outlineLevel="0" max="20" min="18" style="0" width="9"/>
    <col collapsed="false" customWidth="true" hidden="false" outlineLevel="0" max="23" min="21" style="0" width="10"/>
    <col collapsed="false" customWidth="true" hidden="false" outlineLevel="0" max="24" min="24" style="0" width="14"/>
    <col collapsed="false" customWidth="true" hidden="false" outlineLevel="0" max="27" min="25" style="0" width="12"/>
    <col collapsed="false" customWidth="true" hidden="false" outlineLevel="0" max="28" min="28" style="0" width="26"/>
    <col collapsed="false" customWidth="true" hidden="false" outlineLevel="0" max="31" min="29" style="0" width="22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3" customFormat="false" ht="15" hidden="false" customHeight="false" outlineLevel="0" collapsed="false">
      <c r="A3" s="27" t="s">
        <v>96</v>
      </c>
      <c r="B3" s="28" t="n">
        <v>25000</v>
      </c>
    </row>
    <row r="4" customFormat="false" ht="15" hidden="false" customHeight="false" outlineLevel="0" collapsed="false">
      <c r="A4" s="27" t="s">
        <v>97</v>
      </c>
      <c r="B4" s="28" t="n">
        <v>0.75</v>
      </c>
    </row>
    <row r="5" customFormat="false" ht="15" hidden="false" customHeight="false" outlineLevel="0" collapsed="false">
      <c r="A5" s="27" t="s">
        <v>98</v>
      </c>
      <c r="B5" s="28" t="n">
        <v>1.5</v>
      </c>
    </row>
    <row r="6" customFormat="false" ht="15" hidden="false" customHeight="false" outlineLevel="0" collapsed="false">
      <c r="A6" s="27" t="s">
        <v>99</v>
      </c>
      <c r="B6" s="28" t="n">
        <v>5</v>
      </c>
    </row>
    <row r="8" customFormat="false" ht="42" hidden="false" customHeight="true" outlineLevel="0" collapsed="false">
      <c r="A8" s="12" t="s">
        <v>100</v>
      </c>
      <c r="B8" s="12" t="s">
        <v>80</v>
      </c>
      <c r="C8" s="12" t="s">
        <v>81</v>
      </c>
      <c r="D8" s="12" t="s">
        <v>42</v>
      </c>
      <c r="E8" s="12" t="s">
        <v>43</v>
      </c>
      <c r="F8" s="12" t="s">
        <v>44</v>
      </c>
      <c r="G8" s="12" t="s">
        <v>45</v>
      </c>
      <c r="H8" s="12" t="s">
        <v>46</v>
      </c>
      <c r="I8" s="12" t="s">
        <v>3</v>
      </c>
      <c r="J8" s="12" t="s">
        <v>47</v>
      </c>
      <c r="K8" s="12" t="s">
        <v>48</v>
      </c>
      <c r="L8" s="12" t="s">
        <v>49</v>
      </c>
      <c r="M8" s="12" t="s">
        <v>6</v>
      </c>
      <c r="N8" s="12" t="s">
        <v>50</v>
      </c>
      <c r="O8" s="12" t="s">
        <v>9</v>
      </c>
      <c r="P8" s="12" t="s">
        <v>51</v>
      </c>
      <c r="Q8" s="12" t="s">
        <v>52</v>
      </c>
      <c r="R8" s="12" t="s">
        <v>53</v>
      </c>
      <c r="S8" s="12" t="s">
        <v>54</v>
      </c>
      <c r="T8" s="12" t="s">
        <v>55</v>
      </c>
      <c r="U8" s="12" t="s">
        <v>56</v>
      </c>
      <c r="V8" s="12" t="s">
        <v>57</v>
      </c>
      <c r="W8" s="12" t="s">
        <v>58</v>
      </c>
      <c r="X8" s="12" t="s">
        <v>59</v>
      </c>
      <c r="Y8" s="12" t="s">
        <v>101</v>
      </c>
      <c r="Z8" s="12" t="s">
        <v>102</v>
      </c>
      <c r="AA8" s="12" t="s">
        <v>103</v>
      </c>
      <c r="AB8" s="12" t="s">
        <v>75</v>
      </c>
      <c r="AC8" s="12" t="s">
        <v>104</v>
      </c>
      <c r="AD8" s="12" t="s">
        <v>105</v>
      </c>
      <c r="AE8" s="12" t="s">
        <v>106</v>
      </c>
    </row>
    <row r="9" customFormat="false" ht="15" hidden="false" customHeight="false" outlineLevel="0" collapsed="false">
      <c r="A9" s="13" t="s">
        <v>107</v>
      </c>
      <c r="B9" s="13" t="s">
        <v>82</v>
      </c>
      <c r="C9" s="13" t="s">
        <v>60</v>
      </c>
      <c r="D9" s="13" t="s">
        <v>61</v>
      </c>
      <c r="E9" s="14" t="n">
        <v>230022.44</v>
      </c>
      <c r="F9" s="15" t="n">
        <v>1860027</v>
      </c>
      <c r="G9" s="15" t="n">
        <v>874490</v>
      </c>
      <c r="H9" s="15" t="n">
        <v>8247</v>
      </c>
      <c r="I9" s="15" t="n">
        <v>421</v>
      </c>
      <c r="J9" s="15" t="n">
        <v>92</v>
      </c>
      <c r="K9" s="15" t="n">
        <v>10</v>
      </c>
      <c r="L9" s="14" t="n">
        <f aca="false">IFERROR(E9/I9,"n/a")</f>
        <v>546.371591448931</v>
      </c>
      <c r="M9" s="16" t="n">
        <f aca="false">IFERROR(J9/I9,"n/a")</f>
        <v>0.218527315914489</v>
      </c>
      <c r="N9" s="14" t="n">
        <f aca="false">IFERROR(E9/J9,"n/a")</f>
        <v>2500.24391304348</v>
      </c>
      <c r="O9" s="16" t="n">
        <f aca="false">IFERROR(K9/I9,"n/a")</f>
        <v>0.0237529691211401</v>
      </c>
      <c r="P9" s="16" t="n">
        <f aca="false">IFERROR(K9/J9,"n/a")</f>
        <v>0.108695652173913</v>
      </c>
      <c r="Q9" s="14" t="n">
        <f aca="false">IF(AND(K9&gt;0,E9&gt;0),E9/K9,"n/a")</f>
        <v>23002.244</v>
      </c>
      <c r="R9" s="17" t="n">
        <f aca="false">IFERROR(H9/F9,"n/a")</f>
        <v>0.00443380660603314</v>
      </c>
      <c r="S9" s="14" t="n">
        <f aca="false">IFERROR(E9/H9,"n/a")</f>
        <v>27.8916502970777</v>
      </c>
      <c r="T9" s="14" t="n">
        <f aca="false">IFERROR(E9/F9*1000,"n/a")</f>
        <v>123.666183340349</v>
      </c>
      <c r="U9" s="18" t="n">
        <f aca="false">IF(G9="","n/a",IFERROR(F9/G9,"n/a"))</f>
        <v>2.12698487118206</v>
      </c>
      <c r="V9" s="16" t="n">
        <f aca="false">IFERROR(E9/$E$31,"n/a")</f>
        <v>0.189199868490953</v>
      </c>
      <c r="W9" s="16" t="n">
        <f aca="false">IFERROR(K9/$K$31,"n/a")</f>
        <v>0.121951219512195</v>
      </c>
      <c r="X9" s="18" t="n">
        <f aca="false">IFERROR(IF(AND(K9&gt;0,E9&gt;0),($Q$31)/(E9/K9),"n/a"),"n/a")</f>
        <v>0.644562919017178</v>
      </c>
      <c r="Y9" s="16" t="n">
        <f aca="false">IF(I9=0,"n/a",((J9/I9)+1.96^2/(2*I9)-1.96*SQRT((J9/I9)*(1-(J9/I9))/I9+1.96^2/(4*I9^2)))/(1+1.96^2/I9))</f>
        <v>0.181693813977999</v>
      </c>
      <c r="Z9" s="16" t="n">
        <f aca="false">IF(I9=0,"n/a",((J9/I9)+1.96^2/(2*I9)+1.96*SQRT((J9/I9)*(1-(J9/I9))/I9+1.96^2/(4*I9^2)))/(1+1.96^2/I9))</f>
        <v>0.260451211367918</v>
      </c>
      <c r="AA9" s="13" t="str">
        <f aca="false">IF(I9&gt;=100,"High",IF(I9&gt;=40,"Medium","Low"))</f>
        <v>High</v>
      </c>
      <c r="AB9" s="29" t="str">
        <f aca="false">IF(I9=0,"n/a (not a lead-gen ad)",IF(E9&lt;$B$3,"Too early (low spend)",IF(K9=0,"Pause / fix — no meetings",IF(AND(Q9&lt;=$B$4*$Q$31,K9&gt;=$B$6),"SCALE",IF(Q9&gt;=$B$5*$Q$31,"REDUCE / fix","Hold &amp; watch")))))</f>
        <v>REDUCE / fix</v>
      </c>
      <c r="AC9" s="13" t="s">
        <v>108</v>
      </c>
      <c r="AD9" s="13" t="s">
        <v>108</v>
      </c>
      <c r="AE9" s="13" t="s">
        <v>108</v>
      </c>
    </row>
    <row r="10" customFormat="false" ht="15" hidden="false" customHeight="false" outlineLevel="0" collapsed="false">
      <c r="A10" s="13" t="s">
        <v>109</v>
      </c>
      <c r="B10" s="13" t="s">
        <v>83</v>
      </c>
      <c r="C10" s="13" t="s">
        <v>62</v>
      </c>
      <c r="D10" s="13" t="s">
        <v>61</v>
      </c>
      <c r="E10" s="14" t="n">
        <v>191426.3</v>
      </c>
      <c r="F10" s="15" t="n">
        <v>474667</v>
      </c>
      <c r="G10" s="15" t="n">
        <v>284877</v>
      </c>
      <c r="H10" s="15" t="n">
        <v>2763</v>
      </c>
      <c r="I10" s="15" t="n">
        <v>199</v>
      </c>
      <c r="J10" s="15" t="n">
        <v>68</v>
      </c>
      <c r="K10" s="15" t="n">
        <v>23</v>
      </c>
      <c r="L10" s="14" t="n">
        <f aca="false">IFERROR(E10/I10,"n/a")</f>
        <v>961.941206030151</v>
      </c>
      <c r="M10" s="16" t="n">
        <f aca="false">IFERROR(J10/I10,"n/a")</f>
        <v>0.341708542713568</v>
      </c>
      <c r="N10" s="14" t="n">
        <f aca="false">IFERROR(E10/J10,"n/a")</f>
        <v>2815.09264705882</v>
      </c>
      <c r="O10" s="16" t="n">
        <f aca="false">IFERROR(K10/I10,"n/a")</f>
        <v>0.115577889447236</v>
      </c>
      <c r="P10" s="16" t="n">
        <f aca="false">IFERROR(K10/J10,"n/a")</f>
        <v>0.338235294117647</v>
      </c>
      <c r="Q10" s="14" t="n">
        <f aca="false">IF(AND(K10&gt;0,E10&gt;0),E10/K10,"n/a")</f>
        <v>8322.88260869565</v>
      </c>
      <c r="R10" s="17" t="n">
        <f aca="false">IFERROR(H10/F10,"n/a")</f>
        <v>0.00582092287856539</v>
      </c>
      <c r="S10" s="14" t="n">
        <f aca="false">IFERROR(E10/H10,"n/a")</f>
        <v>69.2820484980094</v>
      </c>
      <c r="T10" s="14" t="n">
        <f aca="false">IFERROR(E10/F10*1000,"n/a")</f>
        <v>403.28546117594</v>
      </c>
      <c r="U10" s="18" t="n">
        <f aca="false">IF(G10="","n/a",IFERROR(F10/G10,"n/a"))</f>
        <v>1.66621734994401</v>
      </c>
      <c r="V10" s="16" t="n">
        <f aca="false">IFERROR(E10/$E$31,"n/a")</f>
        <v>0.157453467521298</v>
      </c>
      <c r="W10" s="16" t="n">
        <f aca="false">IFERROR(K10/$K$31,"n/a")</f>
        <v>0.280487804878049</v>
      </c>
      <c r="X10" s="18" t="n">
        <f aca="false">IFERROR(IF(AND(K10&gt;0,E10&gt;0),($Q$31)/(E10/K10),"n/a"),"n/a")</f>
        <v>1.78140125647031</v>
      </c>
      <c r="Y10" s="16" t="n">
        <f aca="false">IF(I10=0,"n/a",((J10/I10)+1.96^2/(2*I10)-1.96*SQRT((J10/I10)*(1-(J10/I10))/I10+1.96^2/(4*I10^2)))/(1+1.96^2/I10))</f>
        <v>0.279367455100476</v>
      </c>
      <c r="Z10" s="16" t="n">
        <f aca="false">IF(I10=0,"n/a",((J10/I10)+1.96^2/(2*I10)+1.96*SQRT((J10/I10)*(1-(J10/I10))/I10+1.96^2/(4*I10^2)))/(1+1.96^2/I10))</f>
        <v>0.410045367515792</v>
      </c>
      <c r="AA10" s="13" t="str">
        <f aca="false">IF(I10&gt;=100,"High",IF(I10&gt;=40,"Medium","Low"))</f>
        <v>High</v>
      </c>
      <c r="AB10" s="29" t="str">
        <f aca="false">IF(I10=0,"n/a (not a lead-gen ad)",IF(E10&lt;$B$3,"Too early (low spend)",IF(K10=0,"Pause / fix — no meetings",IF(AND(Q10&lt;=$B$4*$Q$31,K10&gt;=$B$6),"SCALE",IF(Q10&gt;=$B$5*$Q$31,"REDUCE / fix","Hold &amp; watch")))))</f>
        <v>SCALE</v>
      </c>
      <c r="AC10" s="13" t="s">
        <v>110</v>
      </c>
      <c r="AD10" s="13" t="s">
        <v>111</v>
      </c>
      <c r="AE10" s="13" t="s">
        <v>111</v>
      </c>
    </row>
    <row r="11" customFormat="false" ht="15" hidden="false" customHeight="false" outlineLevel="0" collapsed="false">
      <c r="A11" s="13" t="s">
        <v>112</v>
      </c>
      <c r="B11" s="13" t="s">
        <v>82</v>
      </c>
      <c r="C11" s="13" t="s">
        <v>60</v>
      </c>
      <c r="D11" s="13" t="s">
        <v>61</v>
      </c>
      <c r="E11" s="14" t="n">
        <v>174808.13</v>
      </c>
      <c r="F11" s="15" t="n">
        <v>1008172</v>
      </c>
      <c r="G11" s="15" t="n">
        <v>428606</v>
      </c>
      <c r="H11" s="15" t="n">
        <v>6157</v>
      </c>
      <c r="I11" s="15" t="n">
        <v>361</v>
      </c>
      <c r="J11" s="15" t="n">
        <v>57</v>
      </c>
      <c r="K11" s="15" t="n">
        <v>4</v>
      </c>
      <c r="L11" s="14" t="n">
        <f aca="false">IFERROR(E11/I11,"n/a")</f>
        <v>484.233047091413</v>
      </c>
      <c r="M11" s="16" t="n">
        <f aca="false">IFERROR(J11/I11,"n/a")</f>
        <v>0.157894736842105</v>
      </c>
      <c r="N11" s="14" t="n">
        <f aca="false">IFERROR(E11/J11,"n/a")</f>
        <v>3066.80929824561</v>
      </c>
      <c r="O11" s="16" t="n">
        <f aca="false">IFERROR(K11/I11,"n/a")</f>
        <v>0.0110803324099723</v>
      </c>
      <c r="P11" s="16" t="n">
        <f aca="false">IFERROR(K11/J11,"n/a")</f>
        <v>0.0701754385964912</v>
      </c>
      <c r="Q11" s="14" t="n">
        <f aca="false">IF(AND(K11&gt;0,E11&gt;0),E11/K11,"n/a")</f>
        <v>43702.0325</v>
      </c>
      <c r="R11" s="17" t="n">
        <f aca="false">IFERROR(H11/F11,"n/a")</f>
        <v>0.00610709283733331</v>
      </c>
      <c r="S11" s="14" t="n">
        <f aca="false">IFERROR(E11/H11,"n/a")</f>
        <v>28.3917703426994</v>
      </c>
      <c r="T11" s="14" t="n">
        <f aca="false">IFERROR(E11/F11*1000,"n/a")</f>
        <v>173.391177299112</v>
      </c>
      <c r="U11" s="18" t="n">
        <f aca="false">IF(G11="","n/a",IFERROR(F11/G11,"n/a"))</f>
        <v>2.35221158826521</v>
      </c>
      <c r="V11" s="16" t="n">
        <f aca="false">IFERROR(E11/$E$31,"n/a")</f>
        <v>0.143784559485368</v>
      </c>
      <c r="W11" s="16" t="n">
        <f aca="false">IFERROR(K11/$K$31,"n/a")</f>
        <v>0.0487804878048781</v>
      </c>
      <c r="X11" s="18" t="n">
        <f aca="false">IFERROR(IF(AND(K11&gt;0,E11&gt;0),($Q$31)/(E11/K11),"n/a"),"n/a")</f>
        <v>0.339260960839416</v>
      </c>
      <c r="Y11" s="16" t="n">
        <f aca="false">IF(I11=0,"n/a",((J11/I11)+1.96^2/(2*I11)-1.96*SQRT((J11/I11)*(1-(J11/I11))/I11+1.96^2/(4*I11^2)))/(1+1.96^2/I11))</f>
        <v>0.123906772474869</v>
      </c>
      <c r="Z11" s="16" t="n">
        <f aca="false">IF(I11=0,"n/a",((J11/I11)+1.96^2/(2*I11)+1.96*SQRT((J11/I11)*(1-(J11/I11))/I11+1.96^2/(4*I11^2)))/(1+1.96^2/I11))</f>
        <v>0.199087096645319</v>
      </c>
      <c r="AA11" s="13" t="str">
        <f aca="false">IF(I11&gt;=100,"High",IF(I11&gt;=40,"Medium","Low"))</f>
        <v>High</v>
      </c>
      <c r="AB11" s="29" t="str">
        <f aca="false">IF(I11=0,"n/a (not a lead-gen ad)",IF(E11&lt;$B$3,"Too early (low spend)",IF(K11=0,"Pause / fix — no meetings",IF(AND(Q11&lt;=$B$4*$Q$31,K11&gt;=$B$6),"SCALE",IF(Q11&gt;=$B$5*$Q$31,"REDUCE / fix","Hold &amp; watch")))))</f>
        <v>REDUCE / fix</v>
      </c>
      <c r="AC11" s="13" t="s">
        <v>108</v>
      </c>
      <c r="AD11" s="13" t="s">
        <v>108</v>
      </c>
      <c r="AE11" s="13" t="s">
        <v>108</v>
      </c>
    </row>
    <row r="12" customFormat="false" ht="15" hidden="false" customHeight="false" outlineLevel="0" collapsed="false">
      <c r="A12" s="13" t="s">
        <v>113</v>
      </c>
      <c r="B12" s="13" t="s">
        <v>85</v>
      </c>
      <c r="C12" s="13" t="s">
        <v>63</v>
      </c>
      <c r="D12" s="13" t="s">
        <v>61</v>
      </c>
      <c r="E12" s="14" t="n">
        <v>142745.49</v>
      </c>
      <c r="F12" s="15" t="n">
        <v>285327</v>
      </c>
      <c r="G12" s="15" t="n">
        <v>188498</v>
      </c>
      <c r="H12" s="15" t="n">
        <v>2229</v>
      </c>
      <c r="I12" s="15" t="n">
        <v>95</v>
      </c>
      <c r="J12" s="15" t="n">
        <v>30</v>
      </c>
      <c r="K12" s="15" t="n">
        <v>7</v>
      </c>
      <c r="L12" s="14" t="n">
        <f aca="false">IFERROR(E12/I12,"n/a")</f>
        <v>1502.58410526316</v>
      </c>
      <c r="M12" s="16" t="n">
        <f aca="false">IFERROR(J12/I12,"n/a")</f>
        <v>0.315789473684211</v>
      </c>
      <c r="N12" s="14" t="n">
        <f aca="false">IFERROR(E12/J12,"n/a")</f>
        <v>4758.183</v>
      </c>
      <c r="O12" s="16" t="n">
        <f aca="false">IFERROR(K12/I12,"n/a")</f>
        <v>0.0736842105263158</v>
      </c>
      <c r="P12" s="16" t="n">
        <f aca="false">IFERROR(K12/J12,"n/a")</f>
        <v>0.233333333333333</v>
      </c>
      <c r="Q12" s="14" t="n">
        <f aca="false">IF(AND(K12&gt;0,E12&gt;0),E12/K12,"n/a")</f>
        <v>20392.2128571429</v>
      </c>
      <c r="R12" s="17" t="n">
        <f aca="false">IFERROR(H12/F12,"n/a")</f>
        <v>0.00781208928702857</v>
      </c>
      <c r="S12" s="14" t="n">
        <f aca="false">IFERROR(E12/H12,"n/a")</f>
        <v>64.0401480484522</v>
      </c>
      <c r="T12" s="14" t="n">
        <f aca="false">IFERROR(E12/F12*1000,"n/a")</f>
        <v>500.287354509037</v>
      </c>
      <c r="U12" s="18" t="n">
        <f aca="false">IF(G12="","n/a",IFERROR(F12/G12,"n/a"))</f>
        <v>1.51368714787425</v>
      </c>
      <c r="V12" s="16" t="n">
        <f aca="false">IFERROR(E12/$E$31,"n/a")</f>
        <v>0.117412144378943</v>
      </c>
      <c r="W12" s="16" t="n">
        <f aca="false">IFERROR(K12/$K$31,"n/a")</f>
        <v>0.0853658536585366</v>
      </c>
      <c r="X12" s="18" t="n">
        <f aca="false">IFERROR(IF(AND(K12&gt;0,E12&gt;0),($Q$31)/(E12/K12),"n/a"),"n/a")</f>
        <v>0.727061532774854</v>
      </c>
      <c r="Y12" s="16" t="n">
        <f aca="false">IF(I12=0,"n/a",((J12/I12)+1.96^2/(2*I12)-1.96*SQRT((J12/I12)*(1-(J12/I12))/I12+1.96^2/(4*I12^2)))/(1+1.96^2/I12))</f>
        <v>0.23103088128713</v>
      </c>
      <c r="Z12" s="16" t="n">
        <f aca="false">IF(I12=0,"n/a",((J12/I12)+1.96^2/(2*I12)+1.96*SQRT((J12/I12)*(1-(J12/I12))/I12+1.96^2/(4*I12^2)))/(1+1.96^2/I12))</f>
        <v>0.414867202110953</v>
      </c>
      <c r="AA12" s="13" t="str">
        <f aca="false">IF(I12&gt;=100,"High",IF(I12&gt;=40,"Medium","Low"))</f>
        <v>Medium</v>
      </c>
      <c r="AB12" s="29" t="str">
        <f aca="false">IF(I12=0,"n/a (not a lead-gen ad)",IF(E12&lt;$B$3,"Too early (low spend)",IF(K12=0,"Pause / fix — no meetings",IF(AND(Q12&lt;=$B$4*$Q$31,K12&gt;=$B$6),"SCALE",IF(Q12&gt;=$B$5*$Q$31,"REDUCE / fix","Hold &amp; watch")))))</f>
        <v>Hold &amp; watch</v>
      </c>
      <c r="AC12" s="13" t="s">
        <v>110</v>
      </c>
      <c r="AD12" s="13" t="s">
        <v>111</v>
      </c>
      <c r="AE12" s="13" t="s">
        <v>111</v>
      </c>
    </row>
    <row r="13" customFormat="false" ht="15" hidden="false" customHeight="false" outlineLevel="0" collapsed="false">
      <c r="A13" s="13" t="s">
        <v>114</v>
      </c>
      <c r="B13" s="13" t="s">
        <v>83</v>
      </c>
      <c r="C13" s="13" t="s">
        <v>62</v>
      </c>
      <c r="D13" s="13" t="s">
        <v>61</v>
      </c>
      <c r="E13" s="14" t="n">
        <v>139358.65</v>
      </c>
      <c r="F13" s="15" t="n">
        <v>381741</v>
      </c>
      <c r="G13" s="15" t="n">
        <v>166773</v>
      </c>
      <c r="H13" s="15" t="n">
        <v>2243</v>
      </c>
      <c r="I13" s="15" t="n">
        <v>126</v>
      </c>
      <c r="J13" s="15" t="n">
        <v>47</v>
      </c>
      <c r="K13" s="15" t="n">
        <v>12</v>
      </c>
      <c r="L13" s="14" t="n">
        <f aca="false">IFERROR(E13/I13,"n/a")</f>
        <v>1106.02103174603</v>
      </c>
      <c r="M13" s="16" t="n">
        <f aca="false">IFERROR(J13/I13,"n/a")</f>
        <v>0.373015873015873</v>
      </c>
      <c r="N13" s="14" t="n">
        <f aca="false">IFERROR(E13/J13,"n/a")</f>
        <v>2965.07765957447</v>
      </c>
      <c r="O13" s="16" t="n">
        <f aca="false">IFERROR(K13/I13,"n/a")</f>
        <v>0.0952380952380952</v>
      </c>
      <c r="P13" s="16" t="n">
        <f aca="false">IFERROR(K13/J13,"n/a")</f>
        <v>0.25531914893617</v>
      </c>
      <c r="Q13" s="14" t="n">
        <f aca="false">IF(AND(K13&gt;0,E13&gt;0),E13/K13,"n/a")</f>
        <v>11613.2208333333</v>
      </c>
      <c r="R13" s="17" t="n">
        <f aca="false">IFERROR(H13/F13,"n/a")</f>
        <v>0.00587571154264279</v>
      </c>
      <c r="S13" s="14" t="n">
        <f aca="false">IFERROR(E13/H13,"n/a")</f>
        <v>62.1304725813642</v>
      </c>
      <c r="T13" s="14" t="n">
        <f aca="false">IFERROR(E13/F13*1000,"n/a")</f>
        <v>365.060734896173</v>
      </c>
      <c r="U13" s="18" t="n">
        <f aca="false">IF(G13="","n/a",IFERROR(F13/G13,"n/a"))</f>
        <v>2.28898562716987</v>
      </c>
      <c r="V13" s="16" t="n">
        <f aca="false">IFERROR(E13/$E$31,"n/a")</f>
        <v>0.114626374074968</v>
      </c>
      <c r="W13" s="16" t="n">
        <f aca="false">IFERROR(K13/$K$31,"n/a")</f>
        <v>0.146341463414634</v>
      </c>
      <c r="X13" s="18" t="n">
        <f aca="false">IFERROR(IF(AND(K13&gt;0,E13&gt;0),($Q$31)/(E13/K13),"n/a"),"n/a")</f>
        <v>1.27668230453599</v>
      </c>
      <c r="Y13" s="16" t="n">
        <f aca="false">IF(I13=0,"n/a",((J13/I13)+1.96^2/(2*I13)-1.96*SQRT((J13/I13)*(1-(J13/I13))/I13+1.96^2/(4*I13^2)))/(1+1.96^2/I13))</f>
        <v>0.293503884528725</v>
      </c>
      <c r="Z13" s="16" t="n">
        <f aca="false">IF(I13=0,"n/a",((J13/I13)+1.96^2/(2*I13)+1.96*SQRT((J13/I13)*(1-(J13/I13))/I13+1.96^2/(4*I13^2)))/(1+1.96^2/I13))</f>
        <v>0.46004197442557</v>
      </c>
      <c r="AA13" s="13" t="str">
        <f aca="false">IF(I13&gt;=100,"High",IF(I13&gt;=40,"Medium","Low"))</f>
        <v>High</v>
      </c>
      <c r="AB13" s="29" t="str">
        <f aca="false">IF(I13=0,"n/a (not a lead-gen ad)",IF(E13&lt;$B$3,"Too early (low spend)",IF(K13=0,"Pause / fix — no meetings",IF(AND(Q13&lt;=$B$4*$Q$31,K13&gt;=$B$6),"SCALE",IF(Q13&gt;=$B$5*$Q$31,"REDUCE / fix","Hold &amp; watch")))))</f>
        <v>Hold &amp; watch</v>
      </c>
      <c r="AC13" s="13" t="s">
        <v>108</v>
      </c>
      <c r="AD13" s="13" t="s">
        <v>108</v>
      </c>
      <c r="AE13" s="13" t="s">
        <v>108</v>
      </c>
    </row>
    <row r="14" customFormat="false" ht="15" hidden="false" customHeight="false" outlineLevel="0" collapsed="false">
      <c r="A14" s="13" t="s">
        <v>107</v>
      </c>
      <c r="B14" s="13" t="s">
        <v>84</v>
      </c>
      <c r="C14" s="13" t="s">
        <v>60</v>
      </c>
      <c r="D14" s="13" t="s">
        <v>61</v>
      </c>
      <c r="E14" s="14" t="n">
        <v>115776.82</v>
      </c>
      <c r="F14" s="15" t="n">
        <v>924764</v>
      </c>
      <c r="G14" s="15" t="n">
        <v>527548</v>
      </c>
      <c r="H14" s="15" t="n">
        <v>3622</v>
      </c>
      <c r="I14" s="15" t="n">
        <v>170</v>
      </c>
      <c r="J14" s="15" t="n">
        <v>42</v>
      </c>
      <c r="K14" s="15" t="n">
        <v>8</v>
      </c>
      <c r="L14" s="14" t="n">
        <f aca="false">IFERROR(E14/I14,"n/a")</f>
        <v>681.040117647059</v>
      </c>
      <c r="M14" s="16" t="n">
        <f aca="false">IFERROR(J14/I14,"n/a")</f>
        <v>0.247058823529412</v>
      </c>
      <c r="N14" s="14" t="n">
        <f aca="false">IFERROR(E14/J14,"n/a")</f>
        <v>2756.59095238095</v>
      </c>
      <c r="O14" s="16" t="n">
        <f aca="false">IFERROR(K14/I14,"n/a")</f>
        <v>0.0470588235294118</v>
      </c>
      <c r="P14" s="16" t="n">
        <f aca="false">IFERROR(K14/J14,"n/a")</f>
        <v>0.19047619047619</v>
      </c>
      <c r="Q14" s="14" t="n">
        <f aca="false">IF(AND(K14&gt;0,E14&gt;0),E14/K14,"n/a")</f>
        <v>14472.1025</v>
      </c>
      <c r="R14" s="17" t="n">
        <f aca="false">IFERROR(H14/F14,"n/a")</f>
        <v>0.00391667495707013</v>
      </c>
      <c r="S14" s="14" t="n">
        <f aca="false">IFERROR(E14/H14,"n/a")</f>
        <v>31.9648868028713</v>
      </c>
      <c r="T14" s="14" t="n">
        <f aca="false">IFERROR(E14/F14*1000,"n/a")</f>
        <v>125.196071646388</v>
      </c>
      <c r="U14" s="18" t="n">
        <f aca="false">IF(G14="","n/a",IFERROR(F14/G14,"n/a"))</f>
        <v>1.75294759908103</v>
      </c>
      <c r="V14" s="16" t="n">
        <f aca="false">IFERROR(E14/$E$31,"n/a")</f>
        <v>0.0952296615856296</v>
      </c>
      <c r="W14" s="16" t="n">
        <f aca="false">IFERROR(K14/$K$31,"n/a")</f>
        <v>0.0975609756097561</v>
      </c>
      <c r="X14" s="18" t="n">
        <f aca="false">IFERROR(IF(AND(K14&gt;0,E14&gt;0),($Q$31)/(E14/K14),"n/a"),"n/a")</f>
        <v>1.02448096512482</v>
      </c>
      <c r="Y14" s="16" t="n">
        <f aca="false">IF(I14=0,"n/a",((J14/I14)+1.96^2/(2*I14)-1.96*SQRT((J14/I14)*(1-(J14/I14))/I14+1.96^2/(4*I14^2)))/(1+1.96^2/I14))</f>
        <v>0.188290158327222</v>
      </c>
      <c r="Z14" s="16" t="n">
        <f aca="false">IF(I14=0,"n/a",((J14/I14)+1.96^2/(2*I14)+1.96*SQRT((J14/I14)*(1-(J14/I14))/I14+1.96^2/(4*I14^2)))/(1+1.96^2/I14))</f>
        <v>0.317006617588324</v>
      </c>
      <c r="AA14" s="13" t="str">
        <f aca="false">IF(I14&gt;=100,"High",IF(I14&gt;=40,"Medium","Low"))</f>
        <v>High</v>
      </c>
      <c r="AB14" s="29" t="str">
        <f aca="false">IF(I14=0,"n/a (not a lead-gen ad)",IF(E14&lt;$B$3,"Too early (low spend)",IF(K14=0,"Pause / fix — no meetings",IF(AND(Q14&lt;=$B$4*$Q$31,K14&gt;=$B$6),"SCALE",IF(Q14&gt;=$B$5*$Q$31,"REDUCE / fix","Hold &amp; watch")))))</f>
        <v>Hold &amp; watch</v>
      </c>
      <c r="AC14" s="13" t="s">
        <v>108</v>
      </c>
      <c r="AD14" s="13" t="s">
        <v>108</v>
      </c>
      <c r="AE14" s="13" t="s">
        <v>108</v>
      </c>
    </row>
    <row r="15" customFormat="false" ht="15" hidden="false" customHeight="false" outlineLevel="0" collapsed="false">
      <c r="A15" s="13" t="s">
        <v>112</v>
      </c>
      <c r="B15" s="13" t="s">
        <v>84</v>
      </c>
      <c r="C15" s="13" t="s">
        <v>60</v>
      </c>
      <c r="D15" s="13" t="s">
        <v>61</v>
      </c>
      <c r="E15" s="14" t="n">
        <v>94722.89</v>
      </c>
      <c r="F15" s="15" t="n">
        <v>587574</v>
      </c>
      <c r="G15" s="15" t="n">
        <v>320523</v>
      </c>
      <c r="H15" s="15" t="n">
        <v>3342</v>
      </c>
      <c r="I15" s="15" t="n">
        <v>154</v>
      </c>
      <c r="J15" s="15" t="n">
        <v>30</v>
      </c>
      <c r="K15" s="15" t="n">
        <v>6</v>
      </c>
      <c r="L15" s="14" t="n">
        <f aca="false">IFERROR(E15/I15,"n/a")</f>
        <v>615.083701298701</v>
      </c>
      <c r="M15" s="16" t="n">
        <f aca="false">IFERROR(J15/I15,"n/a")</f>
        <v>0.194805194805195</v>
      </c>
      <c r="N15" s="14" t="n">
        <f aca="false">IFERROR(E15/J15,"n/a")</f>
        <v>3157.42966666667</v>
      </c>
      <c r="O15" s="16" t="n">
        <f aca="false">IFERROR(K15/I15,"n/a")</f>
        <v>0.038961038961039</v>
      </c>
      <c r="P15" s="16" t="n">
        <f aca="false">IFERROR(K15/J15,"n/a")</f>
        <v>0.2</v>
      </c>
      <c r="Q15" s="14" t="n">
        <f aca="false">IF(AND(K15&gt;0,E15&gt;0),E15/K15,"n/a")</f>
        <v>15787.1483333333</v>
      </c>
      <c r="R15" s="17" t="n">
        <f aca="false">IFERROR(H15/F15,"n/a")</f>
        <v>0.00568779421826017</v>
      </c>
      <c r="S15" s="14" t="n">
        <f aca="false">IFERROR(E15/H15,"n/a")</f>
        <v>28.3431747456613</v>
      </c>
      <c r="T15" s="14" t="n">
        <f aca="false">IFERROR(E15/F15*1000,"n/a")</f>
        <v>161.21014544551</v>
      </c>
      <c r="U15" s="18" t="n">
        <f aca="false">IF(G15="","n/a",IFERROR(F15/G15,"n/a"))</f>
        <v>1.83317265843637</v>
      </c>
      <c r="V15" s="16" t="n">
        <f aca="false">IFERROR(E15/$E$31,"n/a")</f>
        <v>0.0779122173083767</v>
      </c>
      <c r="W15" s="16" t="n">
        <f aca="false">IFERROR(K15/$K$31,"n/a")</f>
        <v>0.0731707317073171</v>
      </c>
      <c r="X15" s="18" t="n">
        <f aca="false">IFERROR(IF(AND(K15&gt;0,E15&gt;0),($Q$31)/(E15/K15),"n/a"),"n/a")</f>
        <v>0.939143233694751</v>
      </c>
      <c r="Y15" s="16" t="n">
        <f aca="false">IF(I15=0,"n/a",((J15/I15)+1.96^2/(2*I15)-1.96*SQRT((J15/I15)*(1-(J15/I15))/I15+1.96^2/(4*I15^2)))/(1+1.96^2/I15))</f>
        <v>0.140001384736077</v>
      </c>
      <c r="Z15" s="16" t="n">
        <f aca="false">IF(I15=0,"n/a",((J15/I15)+1.96^2/(2*I15)+1.96*SQRT((J15/I15)*(1-(J15/I15))/I15+1.96^2/(4*I15^2)))/(1+1.96^2/I15))</f>
        <v>0.264464864972491</v>
      </c>
      <c r="AA15" s="13" t="str">
        <f aca="false">IF(I15&gt;=100,"High",IF(I15&gt;=40,"Medium","Low"))</f>
        <v>High</v>
      </c>
      <c r="AB15" s="29" t="str">
        <f aca="false">IF(I15=0,"n/a (not a lead-gen ad)",IF(E15&lt;$B$3,"Too early (low spend)",IF(K15=0,"Pause / fix — no meetings",IF(AND(Q15&lt;=$B$4*$Q$31,K15&gt;=$B$6),"SCALE",IF(Q15&gt;=$B$5*$Q$31,"REDUCE / fix","Hold &amp; watch")))))</f>
        <v>Hold &amp; watch</v>
      </c>
      <c r="AC15" s="13" t="s">
        <v>108</v>
      </c>
      <c r="AD15" s="13" t="s">
        <v>108</v>
      </c>
      <c r="AE15" s="13" t="s">
        <v>108</v>
      </c>
    </row>
    <row r="16" customFormat="false" ht="15" hidden="false" customHeight="false" outlineLevel="0" collapsed="false">
      <c r="A16" s="13" t="s">
        <v>115</v>
      </c>
      <c r="B16" s="13" t="s">
        <v>85</v>
      </c>
      <c r="C16" s="13" t="s">
        <v>63</v>
      </c>
      <c r="D16" s="13" t="s">
        <v>61</v>
      </c>
      <c r="E16" s="14" t="n">
        <v>51377.85</v>
      </c>
      <c r="F16" s="15" t="n">
        <v>105467</v>
      </c>
      <c r="G16" s="15" t="n">
        <v>53954</v>
      </c>
      <c r="H16" s="15" t="n">
        <v>552</v>
      </c>
      <c r="I16" s="15" t="n">
        <v>44</v>
      </c>
      <c r="J16" s="15" t="n">
        <v>16</v>
      </c>
      <c r="K16" s="15" t="n">
        <v>2</v>
      </c>
      <c r="L16" s="14" t="n">
        <f aca="false">IFERROR(E16/I16,"n/a")</f>
        <v>1167.67840909091</v>
      </c>
      <c r="M16" s="16" t="n">
        <f aca="false">IFERROR(J16/I16,"n/a")</f>
        <v>0.363636363636364</v>
      </c>
      <c r="N16" s="14" t="n">
        <f aca="false">IFERROR(E16/J16,"n/a")</f>
        <v>3211.115625</v>
      </c>
      <c r="O16" s="16" t="n">
        <f aca="false">IFERROR(K16/I16,"n/a")</f>
        <v>0.0454545454545455</v>
      </c>
      <c r="P16" s="16" t="n">
        <f aca="false">IFERROR(K16/J16,"n/a")</f>
        <v>0.125</v>
      </c>
      <c r="Q16" s="14" t="n">
        <f aca="false">IF(AND(K16&gt;0,E16&gt;0),E16/K16,"n/a")</f>
        <v>25688.925</v>
      </c>
      <c r="R16" s="17" t="n">
        <f aca="false">IFERROR(H16/F16,"n/a")</f>
        <v>0.00523386462116112</v>
      </c>
      <c r="S16" s="14" t="n">
        <f aca="false">IFERROR(E16/H16,"n/a")</f>
        <v>93.0758152173913</v>
      </c>
      <c r="T16" s="14" t="n">
        <f aca="false">IFERROR(E16/F16*1000,"n/a")</f>
        <v>487.146216352034</v>
      </c>
      <c r="U16" s="18" t="n">
        <f aca="false">IF(G16="","n/a",IFERROR(F16/G16,"n/a"))</f>
        <v>1.95475775660748</v>
      </c>
      <c r="V16" s="16" t="n">
        <f aca="false">IFERROR(E16/$E$31,"n/a")</f>
        <v>0.042259713719009</v>
      </c>
      <c r="W16" s="16" t="n">
        <f aca="false">IFERROR(K16/$K$31,"n/a")</f>
        <v>0.024390243902439</v>
      </c>
      <c r="X16" s="18" t="n">
        <f aca="false">IFERROR(IF(AND(K16&gt;0,E16&gt;0),($Q$31)/(E16/K16),"n/a"),"n/a")</f>
        <v>0.577151186224623</v>
      </c>
      <c r="Y16" s="16" t="n">
        <f aca="false">IF(I16=0,"n/a",((J16/I16)+1.96^2/(2*I16)-1.96*SQRT((J16/I16)*(1-(J16/I16))/I16+1.96^2/(4*I16^2)))/(1+1.96^2/I16))</f>
        <v>0.237833341274914</v>
      </c>
      <c r="Z16" s="16" t="n">
        <f aca="false">IF(I16=0,"n/a",((J16/I16)+1.96^2/(2*I16)+1.96*SQRT((J16/I16)*(1-(J16/I16))/I16+1.96^2/(4*I16^2)))/(1+1.96^2/I16))</f>
        <v>0.51133892721109</v>
      </c>
      <c r="AA16" s="13" t="str">
        <f aca="false">IF(I16&gt;=100,"High",IF(I16&gt;=40,"Medium","Low"))</f>
        <v>Medium</v>
      </c>
      <c r="AB16" s="29" t="str">
        <f aca="false">IF(I16=0,"n/a (not a lead-gen ad)",IF(E16&lt;$B$3,"Too early (low spend)",IF(K16=0,"Pause / fix — no meetings",IF(AND(Q16&lt;=$B$4*$Q$31,K16&gt;=$B$6),"SCALE",IF(Q16&gt;=$B$5*$Q$31,"REDUCE / fix","Hold &amp; watch")))))</f>
        <v>REDUCE / fix</v>
      </c>
      <c r="AC16" s="13" t="s">
        <v>108</v>
      </c>
      <c r="AD16" s="13" t="s">
        <v>108</v>
      </c>
      <c r="AE16" s="13" t="s">
        <v>108</v>
      </c>
    </row>
    <row r="17" customFormat="false" ht="15" hidden="false" customHeight="false" outlineLevel="0" collapsed="false">
      <c r="A17" s="13" t="s">
        <v>116</v>
      </c>
      <c r="B17" s="13" t="s">
        <v>82</v>
      </c>
      <c r="C17" s="13" t="s">
        <v>60</v>
      </c>
      <c r="D17" s="13" t="s">
        <v>61</v>
      </c>
      <c r="E17" s="14" t="n">
        <v>22638.41</v>
      </c>
      <c r="F17" s="15" t="n">
        <v>66997</v>
      </c>
      <c r="G17" s="15" t="n">
        <v>46060</v>
      </c>
      <c r="H17" s="15" t="n">
        <v>538</v>
      </c>
      <c r="I17" s="15" t="n">
        <v>48</v>
      </c>
      <c r="J17" s="15" t="n">
        <v>9</v>
      </c>
      <c r="K17" s="15" t="n">
        <v>1</v>
      </c>
      <c r="L17" s="14" t="n">
        <f aca="false">IFERROR(E17/I17,"n/a")</f>
        <v>471.633541666667</v>
      </c>
      <c r="M17" s="16" t="n">
        <f aca="false">IFERROR(J17/I17,"n/a")</f>
        <v>0.1875</v>
      </c>
      <c r="N17" s="14" t="n">
        <f aca="false">IFERROR(E17/J17,"n/a")</f>
        <v>2515.37888888889</v>
      </c>
      <c r="O17" s="16" t="n">
        <f aca="false">IFERROR(K17/I17,"n/a")</f>
        <v>0.0208333333333333</v>
      </c>
      <c r="P17" s="16" t="n">
        <f aca="false">IFERROR(K17/J17,"n/a")</f>
        <v>0.111111111111111</v>
      </c>
      <c r="Q17" s="14" t="n">
        <f aca="false">IF(AND(K17&gt;0,E17&gt;0),E17/K17,"n/a")</f>
        <v>22638.41</v>
      </c>
      <c r="R17" s="17" t="n">
        <f aca="false">IFERROR(H17/F17,"n/a")</f>
        <v>0.00803021030792424</v>
      </c>
      <c r="S17" s="14" t="n">
        <f aca="false">IFERROR(E17/H17,"n/a")</f>
        <v>42.0788289962825</v>
      </c>
      <c r="T17" s="14" t="n">
        <f aca="false">IFERROR(E17/F17*1000,"n/a")</f>
        <v>337.901846351329</v>
      </c>
      <c r="U17" s="18" t="n">
        <f aca="false">IF(G17="","n/a",IFERROR(F17/G17,"n/a"))</f>
        <v>1.45455927051672</v>
      </c>
      <c r="V17" s="16" t="n">
        <f aca="false">IFERROR(E17/$E$31,"n/a")</f>
        <v>0.0186207232426727</v>
      </c>
      <c r="W17" s="16" t="n">
        <f aca="false">IFERROR(K17/$K$31,"n/a")</f>
        <v>0.0121951219512195</v>
      </c>
      <c r="X17" s="18" t="n">
        <f aca="false">IFERROR(IF(AND(K17&gt;0,E17&gt;0),($Q$31)/(E17/K17),"n/a"),"n/a")</f>
        <v>0.654922034568036</v>
      </c>
      <c r="Y17" s="16" t="n">
        <f aca="false">IF(I17=0,"n/a",((J17/I17)+1.96^2/(2*I17)-1.96*SQRT((J17/I17)*(1-(J17/I17))/I17+1.96^2/(4*I17^2)))/(1+1.96^2/I17))</f>
        <v>0.101912763482002</v>
      </c>
      <c r="Z17" s="16" t="n">
        <f aca="false">IF(I17=0,"n/a",((J17/I17)+1.96^2/(2*I17)+1.96*SQRT((J17/I17)*(1-(J17/I17))/I17+1.96^2/(4*I17^2)))/(1+1.96^2/I17))</f>
        <v>0.319401393488462</v>
      </c>
      <c r="AA17" s="13" t="str">
        <f aca="false">IF(I17&gt;=100,"High",IF(I17&gt;=40,"Medium","Low"))</f>
        <v>Medium</v>
      </c>
      <c r="AB17" s="29" t="str">
        <f aca="false">IF(I17=0,"n/a (not a lead-gen ad)",IF(E17&lt;$B$3,"Too early (low spend)",IF(K17=0,"Pause / fix — no meetings",IF(AND(Q17&lt;=$B$4*$Q$31,K17&gt;=$B$6),"SCALE",IF(Q17&gt;=$B$5*$Q$31,"REDUCE / fix","Hold &amp; watch")))))</f>
        <v>Too early (low spend)</v>
      </c>
      <c r="AC17" s="13" t="s">
        <v>117</v>
      </c>
      <c r="AD17" s="13" t="s">
        <v>111</v>
      </c>
      <c r="AE17" s="13" t="s">
        <v>111</v>
      </c>
    </row>
    <row r="18" customFormat="false" ht="15" hidden="false" customHeight="false" outlineLevel="0" collapsed="false">
      <c r="A18" s="13" t="s">
        <v>116</v>
      </c>
      <c r="B18" s="13" t="s">
        <v>84</v>
      </c>
      <c r="C18" s="13" t="s">
        <v>60</v>
      </c>
      <c r="D18" s="13" t="s">
        <v>61</v>
      </c>
      <c r="E18" s="14" t="n">
        <v>18325.06</v>
      </c>
      <c r="F18" s="15" t="n">
        <v>64699</v>
      </c>
      <c r="G18" s="15" t="n">
        <v>43290</v>
      </c>
      <c r="H18" s="15" t="n">
        <v>532</v>
      </c>
      <c r="I18" s="15" t="n">
        <v>24</v>
      </c>
      <c r="J18" s="15" t="n">
        <v>4</v>
      </c>
      <c r="K18" s="15" t="n">
        <v>2</v>
      </c>
      <c r="L18" s="14" t="n">
        <f aca="false">IFERROR(E18/I18,"n/a")</f>
        <v>763.544166666667</v>
      </c>
      <c r="M18" s="16" t="n">
        <f aca="false">IFERROR(J18/I18,"n/a")</f>
        <v>0.166666666666667</v>
      </c>
      <c r="N18" s="14" t="n">
        <f aca="false">IFERROR(E18/J18,"n/a")</f>
        <v>4581.265</v>
      </c>
      <c r="O18" s="16" t="n">
        <f aca="false">IFERROR(K18/I18,"n/a")</f>
        <v>0.0833333333333333</v>
      </c>
      <c r="P18" s="16" t="n">
        <f aca="false">IFERROR(K18/J18,"n/a")</f>
        <v>0.5</v>
      </c>
      <c r="Q18" s="14" t="n">
        <f aca="false">IF(AND(K18&gt;0,E18&gt;0),E18/K18,"n/a")</f>
        <v>9162.53</v>
      </c>
      <c r="R18" s="17" t="n">
        <f aca="false">IFERROR(H18/F18,"n/a")</f>
        <v>0.00822269277732268</v>
      </c>
      <c r="S18" s="14" t="n">
        <f aca="false">IFERROR(E18/H18,"n/a")</f>
        <v>34.4456015037594</v>
      </c>
      <c r="T18" s="14" t="n">
        <f aca="false">IFERROR(E18/F18*1000,"n/a")</f>
        <v>283.235598695498</v>
      </c>
      <c r="U18" s="18" t="n">
        <f aca="false">IF(G18="","n/a",IFERROR(F18/G18,"n/a"))</f>
        <v>1.49454839454839</v>
      </c>
      <c r="V18" s="16" t="n">
        <f aca="false">IFERROR(E18/$E$31,"n/a")</f>
        <v>0.0150728726383775</v>
      </c>
      <c r="W18" s="16" t="n">
        <f aca="false">IFERROR(K18/$K$31,"n/a")</f>
        <v>0.024390243902439</v>
      </c>
      <c r="X18" s="18" t="n">
        <f aca="false">IFERROR(IF(AND(K18&gt;0,E18&gt;0),($Q$31)/(E18/K18),"n/a"),"n/a")</f>
        <v>1.61815497865604</v>
      </c>
      <c r="Y18" s="16" t="n">
        <f aca="false">IF(I18=0,"n/a",((J18/I18)+1.96^2/(2*I18)-1.96*SQRT((J18/I18)*(1-(J18/I18))/I18+1.96^2/(4*I18^2)))/(1+1.96^2/I18))</f>
        <v>0.0667856800072892</v>
      </c>
      <c r="Z18" s="16" t="n">
        <f aca="false">IF(I18=0,"n/a",((J18/I18)+1.96^2/(2*I18)+1.96*SQRT((J18/I18)*(1-(J18/I18))/I18+1.96^2/(4*I18^2)))/(1+1.96^2/I18))</f>
        <v>0.358534703878694</v>
      </c>
      <c r="AA18" s="13" t="str">
        <f aca="false">IF(I18&gt;=100,"High",IF(I18&gt;=40,"Medium","Low"))</f>
        <v>Low</v>
      </c>
      <c r="AB18" s="29" t="str">
        <f aca="false">IF(I18=0,"n/a (not a lead-gen ad)",IF(E18&lt;$B$3,"Too early (low spend)",IF(K18=0,"Pause / fix — no meetings",IF(AND(Q18&lt;=$B$4*$Q$31,K18&gt;=$B$6),"SCALE",IF(Q18&gt;=$B$5*$Q$31,"REDUCE / fix","Hold &amp; watch")))))</f>
        <v>Too early (low spend)</v>
      </c>
      <c r="AC18" s="13" t="s">
        <v>110</v>
      </c>
      <c r="AD18" s="13" t="s">
        <v>118</v>
      </c>
      <c r="AE18" s="13" t="s">
        <v>111</v>
      </c>
    </row>
    <row r="19" customFormat="false" ht="15" hidden="false" customHeight="false" outlineLevel="0" collapsed="false">
      <c r="A19" s="13" t="s">
        <v>115</v>
      </c>
      <c r="B19" s="13" t="s">
        <v>82</v>
      </c>
      <c r="C19" s="13" t="s">
        <v>60</v>
      </c>
      <c r="D19" s="13" t="s">
        <v>61</v>
      </c>
      <c r="E19" s="14" t="n">
        <v>16371.59</v>
      </c>
      <c r="F19" s="15" t="n">
        <v>63960</v>
      </c>
      <c r="G19" s="15" t="n">
        <v>44687</v>
      </c>
      <c r="H19" s="15" t="n">
        <v>382</v>
      </c>
      <c r="I19" s="15" t="n">
        <v>30</v>
      </c>
      <c r="J19" s="15" t="n">
        <v>9</v>
      </c>
      <c r="K19" s="15" t="n">
        <v>0</v>
      </c>
      <c r="L19" s="14" t="n">
        <f aca="false">IFERROR(E19/I19,"n/a")</f>
        <v>545.719666666667</v>
      </c>
      <c r="M19" s="16" t="n">
        <f aca="false">IFERROR(J19/I19,"n/a")</f>
        <v>0.3</v>
      </c>
      <c r="N19" s="14" t="n">
        <f aca="false">IFERROR(E19/J19,"n/a")</f>
        <v>1819.06555555556</v>
      </c>
      <c r="O19" s="16" t="n">
        <f aca="false">IFERROR(K19/I19,"n/a")</f>
        <v>0</v>
      </c>
      <c r="P19" s="16" t="n">
        <f aca="false">IFERROR(K19/J19,"n/a")</f>
        <v>0</v>
      </c>
      <c r="Q19" s="14" t="str">
        <f aca="false">IF(AND(K19&gt;0,E19&gt;0),E19/K19,"n/a")</f>
        <v>n/a</v>
      </c>
      <c r="R19" s="17" t="n">
        <f aca="false">IFERROR(H19/F19,"n/a")</f>
        <v>0.0059724828017511</v>
      </c>
      <c r="S19" s="14" t="n">
        <f aca="false">IFERROR(E19/H19,"n/a")</f>
        <v>42.8575654450262</v>
      </c>
      <c r="T19" s="14" t="n">
        <f aca="false">IFERROR(E19/F19*1000,"n/a")</f>
        <v>255.966072545341</v>
      </c>
      <c r="U19" s="18" t="n">
        <f aca="false">IF(G19="","n/a",IFERROR(F19/G19,"n/a"))</f>
        <v>1.43128874169221</v>
      </c>
      <c r="V19" s="16" t="n">
        <f aca="false">IFERROR(E19/$E$31,"n/a")</f>
        <v>0.0134660891128179</v>
      </c>
      <c r="W19" s="16" t="n">
        <f aca="false">IFERROR(K19/$K$31,"n/a")</f>
        <v>0</v>
      </c>
      <c r="X19" s="18" t="str">
        <f aca="false">IFERROR(IF(AND(K19&gt;0,E19&gt;0),($Q$31)/(E19/K19),"n/a"),"n/a")</f>
        <v>n/a</v>
      </c>
      <c r="Y19" s="16" t="n">
        <f aca="false">IF(I19=0,"n/a",((J19/I19)+1.96^2/(2*I19)-1.96*SQRT((J19/I19)*(1-(J19/I19))/I19+1.96^2/(4*I19^2)))/(1+1.96^2/I19))</f>
        <v>0.166645626439589</v>
      </c>
      <c r="Z19" s="16" t="n">
        <f aca="false">IF(I19=0,"n/a",((J19/I19)+1.96^2/(2*I19)+1.96*SQRT((J19/I19)*(1-(J19/I19))/I19+1.96^2/(4*I19^2)))/(1+1.96^2/I19))</f>
        <v>0.478761210116602</v>
      </c>
      <c r="AA19" s="13" t="str">
        <f aca="false">IF(I19&gt;=100,"High",IF(I19&gt;=40,"Medium","Low"))</f>
        <v>Low</v>
      </c>
      <c r="AB19" s="29" t="str">
        <f aca="false">IF(I19=0,"n/a (not a lead-gen ad)",IF(E19&lt;$B$3,"Too early (low spend)",IF(K19=0,"Pause / fix — no meetings",IF(AND(Q19&lt;=$B$4*$Q$31,K19&gt;=$B$6),"SCALE",IF(Q19&gt;=$B$5*$Q$31,"REDUCE / fix","Hold &amp; watch")))))</f>
        <v>Too early (low spend)</v>
      </c>
      <c r="AC19" s="13" t="s">
        <v>108</v>
      </c>
      <c r="AD19" s="13" t="s">
        <v>108</v>
      </c>
      <c r="AE19" s="13" t="s">
        <v>108</v>
      </c>
    </row>
    <row r="20" customFormat="false" ht="15" hidden="false" customHeight="false" outlineLevel="0" collapsed="false">
      <c r="A20" s="13" t="s">
        <v>114</v>
      </c>
      <c r="B20" s="13" t="s">
        <v>86</v>
      </c>
      <c r="C20" s="13" t="s">
        <v>62</v>
      </c>
      <c r="D20" s="13" t="s">
        <v>61</v>
      </c>
      <c r="E20" s="14" t="n">
        <v>7962.14</v>
      </c>
      <c r="F20" s="15" t="n">
        <v>6301</v>
      </c>
      <c r="G20" s="15" t="n">
        <v>2549</v>
      </c>
      <c r="H20" s="15" t="n">
        <v>60</v>
      </c>
      <c r="I20" s="15" t="n">
        <v>15</v>
      </c>
      <c r="J20" s="15" t="n">
        <v>11</v>
      </c>
      <c r="K20" s="15" t="n">
        <v>6</v>
      </c>
      <c r="L20" s="14" t="n">
        <f aca="false">IFERROR(E20/I20,"n/a")</f>
        <v>530.809333333333</v>
      </c>
      <c r="M20" s="16" t="n">
        <f aca="false">IFERROR(J20/I20,"n/a")</f>
        <v>0.733333333333333</v>
      </c>
      <c r="N20" s="14" t="n">
        <f aca="false">IFERROR(E20/J20,"n/a")</f>
        <v>723.830909090909</v>
      </c>
      <c r="O20" s="16" t="n">
        <f aca="false">IFERROR(K20/I20,"n/a")</f>
        <v>0.4</v>
      </c>
      <c r="P20" s="16" t="n">
        <f aca="false">IFERROR(K20/J20,"n/a")</f>
        <v>0.545454545454545</v>
      </c>
      <c r="Q20" s="14" t="n">
        <f aca="false">IF(AND(K20&gt;0,E20&gt;0),E20/K20,"n/a")</f>
        <v>1327.02333333333</v>
      </c>
      <c r="R20" s="17" t="n">
        <f aca="false">IFERROR(H20/F20,"n/a")</f>
        <v>0.0095222980479289</v>
      </c>
      <c r="S20" s="14" t="n">
        <f aca="false">IFERROR(E20/H20,"n/a")</f>
        <v>132.702333333333</v>
      </c>
      <c r="T20" s="14" t="n">
        <f aca="false">IFERROR(E20/F20*1000,"n/a")</f>
        <v>1263.63116965561</v>
      </c>
      <c r="U20" s="18" t="n">
        <f aca="false">IF(G20="","n/a",IFERROR(F20/G20,"n/a"))</f>
        <v>2.47194978422911</v>
      </c>
      <c r="V20" s="16" t="n">
        <f aca="false">IFERROR(E20/$E$31,"n/a")</f>
        <v>0.00654908208480251</v>
      </c>
      <c r="W20" s="16" t="n">
        <f aca="false">IFERROR(K20/$K$31,"n/a")</f>
        <v>0.0731707317073171</v>
      </c>
      <c r="X20" s="18" t="n">
        <f aca="false">IFERROR(IF(AND(K20&gt;0,E20&gt;0),($Q$31)/(E20/K20),"n/a"),"n/a")</f>
        <v>11.1726698123259</v>
      </c>
      <c r="Y20" s="16" t="n">
        <f aca="false">IF(I20=0,"n/a",((J20/I20)+1.96^2/(2*I20)-1.96*SQRT((J20/I20)*(1-(J20/I20))/I20+1.96^2/(4*I20^2)))/(1+1.96^2/I20))</f>
        <v>0.480491103423132</v>
      </c>
      <c r="Z20" s="16" t="n">
        <f aca="false">IF(I20=0,"n/a",((J20/I20)+1.96^2/(2*I20)+1.96*SQRT((J20/I20)*(1-(J20/I20))/I20+1.96^2/(4*I20^2)))/(1+1.96^2/I20))</f>
        <v>0.891027238968172</v>
      </c>
      <c r="AA20" s="13" t="str">
        <f aca="false">IF(I20&gt;=100,"High",IF(I20&gt;=40,"Medium","Low"))</f>
        <v>Low</v>
      </c>
      <c r="AB20" s="29" t="str">
        <f aca="false">IF(I20=0,"n/a (not a lead-gen ad)",IF(E20&lt;$B$3,"Too early (low spend)",IF(K20=0,"Pause / fix — no meetings",IF(AND(Q20&lt;=$B$4*$Q$31,K20&gt;=$B$6),"SCALE",IF(Q20&gt;=$B$5*$Q$31,"REDUCE / fix","Hold &amp; watch")))))</f>
        <v>Too early (low spend)</v>
      </c>
      <c r="AC20" s="13" t="s">
        <v>108</v>
      </c>
      <c r="AD20" s="13" t="s">
        <v>108</v>
      </c>
      <c r="AE20" s="13" t="s">
        <v>108</v>
      </c>
    </row>
    <row r="21" customFormat="false" ht="15" hidden="false" customHeight="false" outlineLevel="0" collapsed="false">
      <c r="A21" s="13" t="s">
        <v>119</v>
      </c>
      <c r="B21" s="13" t="s">
        <v>88</v>
      </c>
      <c r="C21" s="13" t="s">
        <v>64</v>
      </c>
      <c r="D21" s="13" t="s">
        <v>61</v>
      </c>
      <c r="E21" s="14" t="n">
        <v>2801.24</v>
      </c>
      <c r="F21" s="15" t="n">
        <v>7539</v>
      </c>
      <c r="G21" s="15" t="n">
        <v>1185</v>
      </c>
      <c r="H21" s="15" t="n">
        <v>48</v>
      </c>
      <c r="I21" s="15" t="n">
        <v>0</v>
      </c>
      <c r="J21" s="15" t="n">
        <v>0</v>
      </c>
      <c r="K21" s="15" t="n">
        <v>0</v>
      </c>
      <c r="L21" s="14" t="str">
        <f aca="false">IFERROR(E21/I21,"n/a")</f>
        <v>n/a</v>
      </c>
      <c r="M21" s="16" t="str">
        <f aca="false">IFERROR(J21/I21,"n/a")</f>
        <v>n/a</v>
      </c>
      <c r="N21" s="14" t="str">
        <f aca="false">IFERROR(E21/J21,"n/a")</f>
        <v>n/a</v>
      </c>
      <c r="O21" s="16" t="str">
        <f aca="false">IFERROR(K21/I21,"n/a")</f>
        <v>n/a</v>
      </c>
      <c r="P21" s="16" t="str">
        <f aca="false">IFERROR(K21/J21,"n/a")</f>
        <v>n/a</v>
      </c>
      <c r="Q21" s="14" t="str">
        <f aca="false">IF(AND(K21&gt;0,E21&gt;0),E21/K21,"n/a")</f>
        <v>n/a</v>
      </c>
      <c r="R21" s="17" t="n">
        <f aca="false">IFERROR(H21/F21,"n/a")</f>
        <v>0.00636689216076403</v>
      </c>
      <c r="S21" s="14" t="n">
        <f aca="false">IFERROR(E21/H21,"n/a")</f>
        <v>58.3591666666667</v>
      </c>
      <c r="T21" s="14" t="n">
        <f aca="false">IFERROR(E21/F21*1000,"n/a")</f>
        <v>371.566520758721</v>
      </c>
      <c r="U21" s="18" t="n">
        <f aca="false">IF(G21="","n/a",IFERROR(F21/G21,"n/a"))</f>
        <v>6.3620253164557</v>
      </c>
      <c r="V21" s="16" t="n">
        <f aca="false">IFERROR(E21/$E$31,"n/a")</f>
        <v>0.00230409798109958</v>
      </c>
      <c r="W21" s="16" t="n">
        <f aca="false">IFERROR(K21/$K$31,"n/a")</f>
        <v>0</v>
      </c>
      <c r="X21" s="18" t="str">
        <f aca="false">IFERROR(IF(AND(K21&gt;0,E21&gt;0),($Q$31)/(E21/K21),"n/a"),"n/a")</f>
        <v>n/a</v>
      </c>
      <c r="Y21" s="16" t="str">
        <f aca="false">IF(I21=0,"n/a",((J21/I21)+1.96^2/(2*I21)-1.96*SQRT((J21/I21)*(1-(J21/I21))/I21+1.96^2/(4*I21^2)))/(1+1.96^2/I21))</f>
        <v>n/a</v>
      </c>
      <c r="Z21" s="16" t="str">
        <f aca="false">IF(I21=0,"n/a",((J21/I21)+1.96^2/(2*I21)+1.96*SQRT((J21/I21)*(1-(J21/I21))/I21+1.96^2/(4*I21^2)))/(1+1.96^2/I21))</f>
        <v>n/a</v>
      </c>
      <c r="AA21" s="13" t="str">
        <f aca="false">IF(I21&gt;=100,"High",IF(I21&gt;=40,"Medium","Low"))</f>
        <v>Low</v>
      </c>
      <c r="AB21" s="29" t="str">
        <f aca="false">IF(I21=0,"n/a (not a lead-gen ad)",IF(E21&lt;$B$3,"Too early (low spend)",IF(K21=0,"Pause / fix — no meetings",IF(AND(Q21&lt;=$B$4*$Q$31,K21&gt;=$B$6),"SCALE",IF(Q21&gt;=$B$5*$Q$31,"REDUCE / fix","Hold &amp; watch")))))</f>
        <v>n/a (not a lead-gen ad)</v>
      </c>
      <c r="AC21" s="13" t="s">
        <v>111</v>
      </c>
      <c r="AD21" s="13" t="s">
        <v>108</v>
      </c>
      <c r="AE21" s="13" t="s">
        <v>108</v>
      </c>
    </row>
    <row r="22" customFormat="false" ht="15" hidden="false" customHeight="false" outlineLevel="0" collapsed="false">
      <c r="A22" s="13" t="s">
        <v>119</v>
      </c>
      <c r="B22" s="13" t="s">
        <v>89</v>
      </c>
      <c r="C22" s="13" t="s">
        <v>64</v>
      </c>
      <c r="D22" s="13" t="s">
        <v>61</v>
      </c>
      <c r="E22" s="14" t="n">
        <v>2793.17</v>
      </c>
      <c r="F22" s="15" t="n">
        <v>10146</v>
      </c>
      <c r="G22" s="15" t="n">
        <v>1442</v>
      </c>
      <c r="H22" s="15" t="n">
        <v>31</v>
      </c>
      <c r="I22" s="15" t="n">
        <v>0</v>
      </c>
      <c r="J22" s="15" t="n">
        <v>0</v>
      </c>
      <c r="K22" s="15" t="n">
        <v>0</v>
      </c>
      <c r="L22" s="14" t="str">
        <f aca="false">IFERROR(E22/I22,"n/a")</f>
        <v>n/a</v>
      </c>
      <c r="M22" s="16" t="str">
        <f aca="false">IFERROR(J22/I22,"n/a")</f>
        <v>n/a</v>
      </c>
      <c r="N22" s="14" t="str">
        <f aca="false">IFERROR(E22/J22,"n/a")</f>
        <v>n/a</v>
      </c>
      <c r="O22" s="16" t="str">
        <f aca="false">IFERROR(K22/I22,"n/a")</f>
        <v>n/a</v>
      </c>
      <c r="P22" s="16" t="str">
        <f aca="false">IFERROR(K22/J22,"n/a")</f>
        <v>n/a</v>
      </c>
      <c r="Q22" s="14" t="str">
        <f aca="false">IF(AND(K22&gt;0,E22&gt;0),E22/K22,"n/a")</f>
        <v>n/a</v>
      </c>
      <c r="R22" s="17" t="n">
        <f aca="false">IFERROR(H22/F22,"n/a")</f>
        <v>0.00305539128720678</v>
      </c>
      <c r="S22" s="14" t="n">
        <f aca="false">IFERROR(E22/H22,"n/a")</f>
        <v>90.1022580645161</v>
      </c>
      <c r="T22" s="14" t="n">
        <f aca="false">IFERROR(E22/F22*1000,"n/a")</f>
        <v>275.29765424798</v>
      </c>
      <c r="U22" s="18" t="n">
        <f aca="false">IF(G22="","n/a",IFERROR(F22/G22,"n/a"))</f>
        <v>7.03606102635229</v>
      </c>
      <c r="V22" s="16" t="n">
        <f aca="false">IFERROR(E22/$E$31,"n/a")</f>
        <v>0.00229746018115831</v>
      </c>
      <c r="W22" s="16" t="n">
        <f aca="false">IFERROR(K22/$K$31,"n/a")</f>
        <v>0</v>
      </c>
      <c r="X22" s="18" t="str">
        <f aca="false">IFERROR(IF(AND(K22&gt;0,E22&gt;0),($Q$31)/(E22/K22),"n/a"),"n/a")</f>
        <v>n/a</v>
      </c>
      <c r="Y22" s="16" t="str">
        <f aca="false">IF(I22=0,"n/a",((J22/I22)+1.96^2/(2*I22)-1.96*SQRT((J22/I22)*(1-(J22/I22))/I22+1.96^2/(4*I22^2)))/(1+1.96^2/I22))</f>
        <v>n/a</v>
      </c>
      <c r="Z22" s="16" t="str">
        <f aca="false">IF(I22=0,"n/a",((J22/I22)+1.96^2/(2*I22)+1.96*SQRT((J22/I22)*(1-(J22/I22))/I22+1.96^2/(4*I22^2)))/(1+1.96^2/I22))</f>
        <v>n/a</v>
      </c>
      <c r="AA22" s="13" t="str">
        <f aca="false">IF(I22&gt;=100,"High",IF(I22&gt;=40,"Medium","Low"))</f>
        <v>Low</v>
      </c>
      <c r="AB22" s="29" t="str">
        <f aca="false">IF(I22=0,"n/a (not a lead-gen ad)",IF(E22&lt;$B$3,"Too early (low spend)",IF(K22=0,"Pause / fix — no meetings",IF(AND(Q22&lt;=$B$4*$Q$31,K22&gt;=$B$6),"SCALE",IF(Q22&gt;=$B$5*$Q$31,"REDUCE / fix","Hold &amp; watch")))))</f>
        <v>n/a (not a lead-gen ad)</v>
      </c>
      <c r="AC22" s="13" t="s">
        <v>108</v>
      </c>
      <c r="AD22" s="13" t="s">
        <v>108</v>
      </c>
      <c r="AE22" s="13" t="s">
        <v>108</v>
      </c>
    </row>
    <row r="23" customFormat="false" ht="15" hidden="false" customHeight="false" outlineLevel="0" collapsed="false">
      <c r="A23" s="13" t="s">
        <v>119</v>
      </c>
      <c r="B23" s="13" t="s">
        <v>90</v>
      </c>
      <c r="C23" s="13" t="s">
        <v>64</v>
      </c>
      <c r="D23" s="13" t="s">
        <v>61</v>
      </c>
      <c r="E23" s="14" t="n">
        <v>1618.94</v>
      </c>
      <c r="F23" s="15" t="n">
        <v>1767</v>
      </c>
      <c r="G23" s="15" t="n">
        <v>104</v>
      </c>
      <c r="H23" s="15" t="n">
        <v>5</v>
      </c>
      <c r="I23" s="15" t="n">
        <v>0</v>
      </c>
      <c r="J23" s="15" t="n">
        <v>0</v>
      </c>
      <c r="K23" s="15" t="n">
        <v>0</v>
      </c>
      <c r="L23" s="14" t="str">
        <f aca="false">IFERROR(E23/I23,"n/a")</f>
        <v>n/a</v>
      </c>
      <c r="M23" s="16" t="str">
        <f aca="false">IFERROR(J23/I23,"n/a")</f>
        <v>n/a</v>
      </c>
      <c r="N23" s="14" t="str">
        <f aca="false">IFERROR(E23/J23,"n/a")</f>
        <v>n/a</v>
      </c>
      <c r="O23" s="16" t="str">
        <f aca="false">IFERROR(K23/I23,"n/a")</f>
        <v>n/a</v>
      </c>
      <c r="P23" s="16" t="str">
        <f aca="false">IFERROR(K23/J23,"n/a")</f>
        <v>n/a</v>
      </c>
      <c r="Q23" s="14" t="str">
        <f aca="false">IF(AND(K23&gt;0,E23&gt;0),E23/K23,"n/a")</f>
        <v>n/a</v>
      </c>
      <c r="R23" s="17" t="n">
        <f aca="false">IFERROR(H23/F23,"n/a")</f>
        <v>0.00282965478211658</v>
      </c>
      <c r="S23" s="14" t="n">
        <f aca="false">IFERROR(E23/H23,"n/a")</f>
        <v>323.788</v>
      </c>
      <c r="T23" s="14" t="n">
        <f aca="false">IFERROR(E23/F23*1000,"n/a")</f>
        <v>916.208262591964</v>
      </c>
      <c r="U23" s="18" t="n">
        <f aca="false">IF(G23="","n/a",IFERROR(F23/G23,"n/a"))</f>
        <v>16.9903846153846</v>
      </c>
      <c r="V23" s="16" t="n">
        <f aca="false">IFERROR(E23/$E$31,"n/a")</f>
        <v>0.0013316232759497</v>
      </c>
      <c r="W23" s="16" t="n">
        <f aca="false">IFERROR(K23/$K$31,"n/a")</f>
        <v>0</v>
      </c>
      <c r="X23" s="18" t="str">
        <f aca="false">IFERROR(IF(AND(K23&gt;0,E23&gt;0),($Q$31)/(E23/K23),"n/a"),"n/a")</f>
        <v>n/a</v>
      </c>
      <c r="Y23" s="16" t="str">
        <f aca="false">IF(I23=0,"n/a",((J23/I23)+1.96^2/(2*I23)-1.96*SQRT((J23/I23)*(1-(J23/I23))/I23+1.96^2/(4*I23^2)))/(1+1.96^2/I23))</f>
        <v>n/a</v>
      </c>
      <c r="Z23" s="16" t="str">
        <f aca="false">IF(I23=0,"n/a",((J23/I23)+1.96^2/(2*I23)+1.96*SQRT((J23/I23)*(1-(J23/I23))/I23+1.96^2/(4*I23^2)))/(1+1.96^2/I23))</f>
        <v>n/a</v>
      </c>
      <c r="AA23" s="13" t="str">
        <f aca="false">IF(I23&gt;=100,"High",IF(I23&gt;=40,"Medium","Low"))</f>
        <v>Low</v>
      </c>
      <c r="AB23" s="29" t="str">
        <f aca="false">IF(I23=0,"n/a (not a lead-gen ad)",IF(E23&lt;$B$3,"Too early (low spend)",IF(K23=0,"Pause / fix — no meetings",IF(AND(Q23&lt;=$B$4*$Q$31,K23&gt;=$B$6),"SCALE",IF(Q23&gt;=$B$5*$Q$31,"REDUCE / fix","Hold &amp; watch")))))</f>
        <v>n/a (not a lead-gen ad)</v>
      </c>
      <c r="AC23" s="13" t="s">
        <v>108</v>
      </c>
      <c r="AD23" s="13" t="s">
        <v>108</v>
      </c>
      <c r="AE23" s="13" t="s">
        <v>108</v>
      </c>
    </row>
    <row r="24" customFormat="false" ht="15" hidden="false" customHeight="false" outlineLevel="0" collapsed="false">
      <c r="A24" s="13" t="s">
        <v>109</v>
      </c>
      <c r="B24" s="13" t="s">
        <v>87</v>
      </c>
      <c r="C24" s="13" t="s">
        <v>65</v>
      </c>
      <c r="D24" s="13" t="s">
        <v>61</v>
      </c>
      <c r="E24" s="14" t="n">
        <v>1498</v>
      </c>
      <c r="F24" s="15" t="n">
        <v>5402</v>
      </c>
      <c r="G24" s="15" t="n">
        <v>3234</v>
      </c>
      <c r="H24" s="15" t="n">
        <v>76</v>
      </c>
      <c r="I24" s="15" t="n">
        <v>6</v>
      </c>
      <c r="J24" s="15" t="n">
        <v>2</v>
      </c>
      <c r="K24" s="15" t="n">
        <v>0</v>
      </c>
      <c r="L24" s="14" t="n">
        <f aca="false">IFERROR(E24/I24,"n/a")</f>
        <v>249.666666666667</v>
      </c>
      <c r="M24" s="16" t="n">
        <f aca="false">IFERROR(J24/I24,"n/a")</f>
        <v>0.333333333333333</v>
      </c>
      <c r="N24" s="14" t="n">
        <f aca="false">IFERROR(E24/J24,"n/a")</f>
        <v>749</v>
      </c>
      <c r="O24" s="16" t="n">
        <f aca="false">IFERROR(K24/I24,"n/a")</f>
        <v>0</v>
      </c>
      <c r="P24" s="16" t="n">
        <f aca="false">IFERROR(K24/J24,"n/a")</f>
        <v>0</v>
      </c>
      <c r="Q24" s="14" t="str">
        <f aca="false">IF(AND(K24&gt;0,E24&gt;0),E24/K24,"n/a")</f>
        <v>n/a</v>
      </c>
      <c r="R24" s="17" t="n">
        <f aca="false">IFERROR(H24/F24,"n/a")</f>
        <v>0.0140688633839319</v>
      </c>
      <c r="S24" s="14" t="n">
        <f aca="false">IFERROR(E24/H24,"n/a")</f>
        <v>19.7105263157895</v>
      </c>
      <c r="T24" s="14" t="n">
        <f aca="false">IFERROR(E24/F24*1000,"n/a")</f>
        <v>277.304701962236</v>
      </c>
      <c r="U24" s="18" t="n">
        <f aca="false">IF(G24="","n/a",IFERROR(F24/G24,"n/a"))</f>
        <v>1.67037724180581</v>
      </c>
      <c r="V24" s="16" t="n">
        <f aca="false">IFERROR(E24/$E$31,"n/a")</f>
        <v>0.00123214675489682</v>
      </c>
      <c r="W24" s="16" t="n">
        <f aca="false">IFERROR(K24/$K$31,"n/a")</f>
        <v>0</v>
      </c>
      <c r="X24" s="18" t="str">
        <f aca="false">IFERROR(IF(AND(K24&gt;0,E24&gt;0),($Q$31)/(E24/K24),"n/a"),"n/a")</f>
        <v>n/a</v>
      </c>
      <c r="Y24" s="16" t="n">
        <f aca="false">IF(I24=0,"n/a",((J24/I24)+1.96^2/(2*I24)-1.96*SQRT((J24/I24)*(1-(J24/I24))/I24+1.96^2/(4*I24^2)))/(1+1.96^2/I24))</f>
        <v>0.0967693325592168</v>
      </c>
      <c r="Z24" s="16" t="n">
        <f aca="false">IF(I24=0,"n/a",((J24/I24)+1.96^2/(2*I24)+1.96*SQRT((J24/I24)*(1-(J24/I24))/I24+1.96^2/(4*I24^2)))/(1+1.96^2/I24))</f>
        <v>0.700011678658471</v>
      </c>
      <c r="AA24" s="13" t="str">
        <f aca="false">IF(I24&gt;=100,"High",IF(I24&gt;=40,"Medium","Low"))</f>
        <v>Low</v>
      </c>
      <c r="AB24" s="29" t="str">
        <f aca="false">IF(I24=0,"n/a (not a lead-gen ad)",IF(E24&lt;$B$3,"Too early (low spend)",IF(K24=0,"Pause / fix — no meetings",IF(AND(Q24&lt;=$B$4*$Q$31,K24&gt;=$B$6),"SCALE",IF(Q24&gt;=$B$5*$Q$31,"REDUCE / fix","Hold &amp; watch")))))</f>
        <v>Too early (low spend)</v>
      </c>
      <c r="AC24" s="13" t="s">
        <v>117</v>
      </c>
      <c r="AD24" s="13" t="s">
        <v>111</v>
      </c>
      <c r="AE24" s="13" t="s">
        <v>118</v>
      </c>
    </row>
    <row r="25" customFormat="false" ht="15" hidden="false" customHeight="false" outlineLevel="0" collapsed="false">
      <c r="A25" s="13" t="s">
        <v>120</v>
      </c>
      <c r="B25" s="13" t="s">
        <v>87</v>
      </c>
      <c r="C25" s="13" t="s">
        <v>65</v>
      </c>
      <c r="D25" s="13" t="s">
        <v>61</v>
      </c>
      <c r="E25" s="14" t="n">
        <v>719.35</v>
      </c>
      <c r="F25" s="15" t="n">
        <v>2603</v>
      </c>
      <c r="G25" s="15" t="n">
        <v>1539</v>
      </c>
      <c r="H25" s="15" t="n">
        <v>23</v>
      </c>
      <c r="I25" s="15" t="n">
        <v>0</v>
      </c>
      <c r="J25" s="15" t="n">
        <v>0</v>
      </c>
      <c r="K25" s="15" t="n">
        <v>0</v>
      </c>
      <c r="L25" s="14" t="str">
        <f aca="false">IFERROR(E25/I25,"n/a")</f>
        <v>n/a</v>
      </c>
      <c r="M25" s="16" t="str">
        <f aca="false">IFERROR(J25/I25,"n/a")</f>
        <v>n/a</v>
      </c>
      <c r="N25" s="14" t="str">
        <f aca="false">IFERROR(E25/J25,"n/a")</f>
        <v>n/a</v>
      </c>
      <c r="O25" s="16" t="str">
        <f aca="false">IFERROR(K25/I25,"n/a")</f>
        <v>n/a</v>
      </c>
      <c r="P25" s="16" t="str">
        <f aca="false">IFERROR(K25/J25,"n/a")</f>
        <v>n/a</v>
      </c>
      <c r="Q25" s="14" t="str">
        <f aca="false">IF(AND(K25&gt;0,E25&gt;0),E25/K25,"n/a")</f>
        <v>n/a</v>
      </c>
      <c r="R25" s="17" t="n">
        <f aca="false">IFERROR(H25/F25,"n/a")</f>
        <v>0.00883595850941222</v>
      </c>
      <c r="S25" s="14" t="n">
        <f aca="false">IFERROR(E25/H25,"n/a")</f>
        <v>31.2760869565217</v>
      </c>
      <c r="T25" s="14" t="n">
        <f aca="false">IFERROR(E25/F25*1000,"n/a")</f>
        <v>276.354206684595</v>
      </c>
      <c r="U25" s="18" t="n">
        <f aca="false">IF(G25="","n/a",IFERROR(F25/G25,"n/a"))</f>
        <v>1.69135802469136</v>
      </c>
      <c r="V25" s="16" t="n">
        <f aca="false">IFERROR(E25/$E$31,"n/a")</f>
        <v>0.00059168542599134</v>
      </c>
      <c r="W25" s="16" t="n">
        <f aca="false">IFERROR(K25/$K$31,"n/a")</f>
        <v>0</v>
      </c>
      <c r="X25" s="18" t="str">
        <f aca="false">IFERROR(IF(AND(K25&gt;0,E25&gt;0),($Q$31)/(E25/K25),"n/a"),"n/a")</f>
        <v>n/a</v>
      </c>
      <c r="Y25" s="16" t="str">
        <f aca="false">IF(I25=0,"n/a",((J25/I25)+1.96^2/(2*I25)-1.96*SQRT((J25/I25)*(1-(J25/I25))/I25+1.96^2/(4*I25^2)))/(1+1.96^2/I25))</f>
        <v>n/a</v>
      </c>
      <c r="Z25" s="16" t="str">
        <f aca="false">IF(I25=0,"n/a",((J25/I25)+1.96^2/(2*I25)+1.96*SQRT((J25/I25)*(1-(J25/I25))/I25+1.96^2/(4*I25^2)))/(1+1.96^2/I25))</f>
        <v>n/a</v>
      </c>
      <c r="AA25" s="13" t="str">
        <f aca="false">IF(I25&gt;=100,"High",IF(I25&gt;=40,"Medium","Low"))</f>
        <v>Low</v>
      </c>
      <c r="AB25" s="29" t="str">
        <f aca="false">IF(I25=0,"n/a (not a lead-gen ad)",IF(E25&lt;$B$3,"Too early (low spend)",IF(K25=0,"Pause / fix — no meetings",IF(AND(Q25&lt;=$B$4*$Q$31,K25&gt;=$B$6),"SCALE",IF(Q25&gt;=$B$5*$Q$31,"REDUCE / fix","Hold &amp; watch")))))</f>
        <v>n/a (not a lead-gen ad)</v>
      </c>
      <c r="AC25" s="13" t="s">
        <v>108</v>
      </c>
      <c r="AD25" s="13" t="s">
        <v>108</v>
      </c>
      <c r="AE25" s="13" t="s">
        <v>108</v>
      </c>
    </row>
    <row r="26" customFormat="false" ht="15" hidden="false" customHeight="false" outlineLevel="0" collapsed="false">
      <c r="A26" s="13" t="s">
        <v>114</v>
      </c>
      <c r="B26" s="13" t="s">
        <v>87</v>
      </c>
      <c r="C26" s="13" t="s">
        <v>65</v>
      </c>
      <c r="D26" s="13" t="s">
        <v>61</v>
      </c>
      <c r="E26" s="14" t="n">
        <v>400.48</v>
      </c>
      <c r="F26" s="15" t="n">
        <v>1572</v>
      </c>
      <c r="G26" s="15" t="n">
        <v>977</v>
      </c>
      <c r="H26" s="15" t="n">
        <v>8</v>
      </c>
      <c r="I26" s="15" t="n">
        <v>0</v>
      </c>
      <c r="J26" s="15" t="n">
        <v>0</v>
      </c>
      <c r="K26" s="15" t="n">
        <v>1</v>
      </c>
      <c r="L26" s="14" t="str">
        <f aca="false">IFERROR(E26/I26,"n/a")</f>
        <v>n/a</v>
      </c>
      <c r="M26" s="16" t="str">
        <f aca="false">IFERROR(J26/I26,"n/a")</f>
        <v>n/a</v>
      </c>
      <c r="N26" s="14" t="str">
        <f aca="false">IFERROR(E26/J26,"n/a")</f>
        <v>n/a</v>
      </c>
      <c r="O26" s="16" t="str">
        <f aca="false">IFERROR(K26/I26,"n/a")</f>
        <v>n/a</v>
      </c>
      <c r="P26" s="16" t="str">
        <f aca="false">IFERROR(K26/J26,"n/a")</f>
        <v>n/a</v>
      </c>
      <c r="Q26" s="14" t="n">
        <f aca="false">IF(AND(K26&gt;0,E26&gt;0),E26/K26,"n/a")</f>
        <v>400.48</v>
      </c>
      <c r="R26" s="17" t="n">
        <f aca="false">IFERROR(H26/F26,"n/a")</f>
        <v>0.00508905852417303</v>
      </c>
      <c r="S26" s="14" t="n">
        <f aca="false">IFERROR(E26/H26,"n/a")</f>
        <v>50.06</v>
      </c>
      <c r="T26" s="14" t="n">
        <f aca="false">IFERROR(E26/F26*1000,"n/a")</f>
        <v>254.758269720102</v>
      </c>
      <c r="U26" s="18" t="n">
        <f aca="false">IF(G26="","n/a",IFERROR(F26/G26,"n/a"))</f>
        <v>1.60900716479017</v>
      </c>
      <c r="V26" s="16" t="n">
        <f aca="false">IFERROR(E26/$E$31,"n/a")</f>
        <v>0.000329405962884565</v>
      </c>
      <c r="W26" s="16" t="n">
        <f aca="false">IFERROR(K26/$K$31,"n/a")</f>
        <v>0.0121951219512195</v>
      </c>
      <c r="X26" s="18" t="n">
        <f aca="false">IFERROR(IF(AND(K26&gt;0,E26&gt;0),($Q$31)/(E26/K26),"n/a"),"n/a")</f>
        <v>37.0215579718971</v>
      </c>
      <c r="Y26" s="16" t="str">
        <f aca="false">IF(I26=0,"n/a",((J26/I26)+1.96^2/(2*I26)-1.96*SQRT((J26/I26)*(1-(J26/I26))/I26+1.96^2/(4*I26^2)))/(1+1.96^2/I26))</f>
        <v>n/a</v>
      </c>
      <c r="Z26" s="16" t="str">
        <f aca="false">IF(I26=0,"n/a",((J26/I26)+1.96^2/(2*I26)+1.96*SQRT((J26/I26)*(1-(J26/I26))/I26+1.96^2/(4*I26^2)))/(1+1.96^2/I26))</f>
        <v>n/a</v>
      </c>
      <c r="AA26" s="13" t="str">
        <f aca="false">IF(I26&gt;=100,"High",IF(I26&gt;=40,"Medium","Low"))</f>
        <v>Low</v>
      </c>
      <c r="AB26" s="29" t="str">
        <f aca="false">IF(I26=0,"n/a (not a lead-gen ad)",IF(E26&lt;$B$3,"Too early (low spend)",IF(K26=0,"Pause / fix — no meetings",IF(AND(Q26&lt;=$B$4*$Q$31,K26&gt;=$B$6),"SCALE",IF(Q26&gt;=$B$5*$Q$31,"REDUCE / fix","Hold &amp; watch")))))</f>
        <v>n/a (not a lead-gen ad)</v>
      </c>
      <c r="AC26" s="13" t="s">
        <v>108</v>
      </c>
      <c r="AD26" s="13" t="s">
        <v>108</v>
      </c>
      <c r="AE26" s="13" t="s">
        <v>108</v>
      </c>
    </row>
    <row r="27" customFormat="false" ht="15" hidden="false" customHeight="false" outlineLevel="0" collapsed="false">
      <c r="A27" s="13" t="s">
        <v>115</v>
      </c>
      <c r="B27" s="13" t="s">
        <v>84</v>
      </c>
      <c r="C27" s="13" t="s">
        <v>60</v>
      </c>
      <c r="D27" s="13" t="s">
        <v>61</v>
      </c>
      <c r="E27" s="14" t="n">
        <v>193.53</v>
      </c>
      <c r="F27" s="15" t="n">
        <v>774</v>
      </c>
      <c r="G27" s="15" t="n">
        <v>662</v>
      </c>
      <c r="H27" s="15" t="n">
        <v>3</v>
      </c>
      <c r="I27" s="15" t="n">
        <v>0</v>
      </c>
      <c r="J27" s="15" t="n">
        <v>0</v>
      </c>
      <c r="K27" s="15" t="n">
        <v>0</v>
      </c>
      <c r="L27" s="14" t="str">
        <f aca="false">IFERROR(E27/I27,"n/a")</f>
        <v>n/a</v>
      </c>
      <c r="M27" s="16" t="str">
        <f aca="false">IFERROR(J27/I27,"n/a")</f>
        <v>n/a</v>
      </c>
      <c r="N27" s="14" t="str">
        <f aca="false">IFERROR(E27/J27,"n/a")</f>
        <v>n/a</v>
      </c>
      <c r="O27" s="16" t="str">
        <f aca="false">IFERROR(K27/I27,"n/a")</f>
        <v>n/a</v>
      </c>
      <c r="P27" s="16" t="str">
        <f aca="false">IFERROR(K27/J27,"n/a")</f>
        <v>n/a</v>
      </c>
      <c r="Q27" s="14" t="str">
        <f aca="false">IF(AND(K27&gt;0,E27&gt;0),E27/K27,"n/a")</f>
        <v>n/a</v>
      </c>
      <c r="R27" s="17" t="n">
        <f aca="false">IFERROR(H27/F27,"n/a")</f>
        <v>0.00387596899224806</v>
      </c>
      <c r="S27" s="14" t="n">
        <f aca="false">IFERROR(E27/H27,"n/a")</f>
        <v>64.51</v>
      </c>
      <c r="T27" s="14" t="n">
        <f aca="false">IFERROR(E27/F27*1000,"n/a")</f>
        <v>250.038759689923</v>
      </c>
      <c r="U27" s="18" t="n">
        <f aca="false">IF(G27="","n/a",IFERROR(F27/G27,"n/a"))</f>
        <v>1.16918429003021</v>
      </c>
      <c r="V27" s="16" t="n">
        <f aca="false">IFERROR(E27/$E$31,"n/a")</f>
        <v>0.000159183819409333</v>
      </c>
      <c r="W27" s="16" t="n">
        <f aca="false">IFERROR(K27/$K$31,"n/a")</f>
        <v>0</v>
      </c>
      <c r="X27" s="18" t="str">
        <f aca="false">IFERROR(IF(AND(K27&gt;0,E27&gt;0),($Q$31)/(E27/K27),"n/a"),"n/a")</f>
        <v>n/a</v>
      </c>
      <c r="Y27" s="16" t="str">
        <f aca="false">IF(I27=0,"n/a",((J27/I27)+1.96^2/(2*I27)-1.96*SQRT((J27/I27)*(1-(J27/I27))/I27+1.96^2/(4*I27^2)))/(1+1.96^2/I27))</f>
        <v>n/a</v>
      </c>
      <c r="Z27" s="16" t="str">
        <f aca="false">IF(I27=0,"n/a",((J27/I27)+1.96^2/(2*I27)+1.96*SQRT((J27/I27)*(1-(J27/I27))/I27+1.96^2/(4*I27^2)))/(1+1.96^2/I27))</f>
        <v>n/a</v>
      </c>
      <c r="AA27" s="13" t="str">
        <f aca="false">IF(I27&gt;=100,"High",IF(I27&gt;=40,"Medium","Low"))</f>
        <v>Low</v>
      </c>
      <c r="AB27" s="29" t="str">
        <f aca="false">IF(I27=0,"n/a (not a lead-gen ad)",IF(E27&lt;$B$3,"Too early (low spend)",IF(K27=0,"Pause / fix — no meetings",IF(AND(Q27&lt;=$B$4*$Q$31,K27&gt;=$B$6),"SCALE",IF(Q27&gt;=$B$5*$Q$31,"REDUCE / fix","Hold &amp; watch")))))</f>
        <v>n/a (not a lead-gen ad)</v>
      </c>
      <c r="AC27" s="13" t="s">
        <v>108</v>
      </c>
      <c r="AD27" s="13" t="s">
        <v>108</v>
      </c>
      <c r="AE27" s="13" t="s">
        <v>108</v>
      </c>
    </row>
    <row r="28" customFormat="false" ht="15" hidden="false" customHeight="false" outlineLevel="0" collapsed="false">
      <c r="A28" s="13" t="s">
        <v>121</v>
      </c>
      <c r="B28" s="13" t="s">
        <v>87</v>
      </c>
      <c r="C28" s="13" t="s">
        <v>65</v>
      </c>
      <c r="D28" s="13" t="s">
        <v>61</v>
      </c>
      <c r="E28" s="14" t="n">
        <v>85.26</v>
      </c>
      <c r="F28" s="15" t="n">
        <v>195</v>
      </c>
      <c r="G28" s="15" t="n">
        <v>167</v>
      </c>
      <c r="H28" s="15" t="n">
        <v>7</v>
      </c>
      <c r="I28" s="15" t="n">
        <v>0</v>
      </c>
      <c r="J28" s="15" t="n">
        <v>0</v>
      </c>
      <c r="K28" s="15" t="n">
        <v>0</v>
      </c>
      <c r="L28" s="14" t="str">
        <f aca="false">IFERROR(E28/I28,"n/a")</f>
        <v>n/a</v>
      </c>
      <c r="M28" s="16" t="str">
        <f aca="false">IFERROR(J28/I28,"n/a")</f>
        <v>n/a</v>
      </c>
      <c r="N28" s="14" t="str">
        <f aca="false">IFERROR(E28/J28,"n/a")</f>
        <v>n/a</v>
      </c>
      <c r="O28" s="16" t="str">
        <f aca="false">IFERROR(K28/I28,"n/a")</f>
        <v>n/a</v>
      </c>
      <c r="P28" s="16" t="str">
        <f aca="false">IFERROR(K28/J28,"n/a")</f>
        <v>n/a</v>
      </c>
      <c r="Q28" s="14" t="str">
        <f aca="false">IF(AND(K28&gt;0,E28&gt;0),E28/K28,"n/a")</f>
        <v>n/a</v>
      </c>
      <c r="R28" s="17" t="n">
        <f aca="false">IFERROR(H28/F28,"n/a")</f>
        <v>0.0358974358974359</v>
      </c>
      <c r="S28" s="14" t="n">
        <f aca="false">IFERROR(E28/H28,"n/a")</f>
        <v>12.18</v>
      </c>
      <c r="T28" s="14" t="n">
        <f aca="false">IFERROR(E28/F28*1000,"n/a")</f>
        <v>437.230769230769</v>
      </c>
      <c r="U28" s="18" t="n">
        <f aca="false">IF(G28="","n/a",IFERROR(F28/G28,"n/a"))</f>
        <v>1.16766467065868</v>
      </c>
      <c r="V28" s="16" t="n">
        <f aca="false">IFERROR(E28/$E$31,"n/a")</f>
        <v>7.01287265170246E-005</v>
      </c>
      <c r="W28" s="16" t="n">
        <f aca="false">IFERROR(K28/$K$31,"n/a")</f>
        <v>0</v>
      </c>
      <c r="X28" s="18" t="str">
        <f aca="false">IFERROR(IF(AND(K28&gt;0,E28&gt;0),($Q$31)/(E28/K28),"n/a"),"n/a")</f>
        <v>n/a</v>
      </c>
      <c r="Y28" s="16" t="str">
        <f aca="false">IF(I28=0,"n/a",((J28/I28)+1.96^2/(2*I28)-1.96*SQRT((J28/I28)*(1-(J28/I28))/I28+1.96^2/(4*I28^2)))/(1+1.96^2/I28))</f>
        <v>n/a</v>
      </c>
      <c r="Z28" s="16" t="str">
        <f aca="false">IF(I28=0,"n/a",((J28/I28)+1.96^2/(2*I28)+1.96*SQRT((J28/I28)*(1-(J28/I28))/I28+1.96^2/(4*I28^2)))/(1+1.96^2/I28))</f>
        <v>n/a</v>
      </c>
      <c r="AA28" s="13" t="str">
        <f aca="false">IF(I28&gt;=100,"High",IF(I28&gt;=40,"Medium","Low"))</f>
        <v>Low</v>
      </c>
      <c r="AB28" s="29" t="str">
        <f aca="false">IF(I28=0,"n/a (not a lead-gen ad)",IF(E28&lt;$B$3,"Too early (low spend)",IF(K28=0,"Pause / fix — no meetings",IF(AND(Q28&lt;=$B$4*$Q$31,K28&gt;=$B$6),"SCALE",IF(Q28&gt;=$B$5*$Q$31,"REDUCE / fix","Hold &amp; watch")))))</f>
        <v>n/a (not a lead-gen ad)</v>
      </c>
      <c r="AC28" s="13" t="s">
        <v>108</v>
      </c>
      <c r="AD28" s="13" t="s">
        <v>108</v>
      </c>
      <c r="AE28" s="13" t="s">
        <v>108</v>
      </c>
    </row>
    <row r="29" customFormat="false" ht="15" hidden="false" customHeight="false" outlineLevel="0" collapsed="false">
      <c r="A29" s="13" t="s">
        <v>122</v>
      </c>
      <c r="B29" s="13" t="s">
        <v>87</v>
      </c>
      <c r="C29" s="13" t="s">
        <v>65</v>
      </c>
      <c r="D29" s="13" t="s">
        <v>61</v>
      </c>
      <c r="E29" s="14" t="n">
        <v>63.37</v>
      </c>
      <c r="F29" s="15" t="n">
        <v>187</v>
      </c>
      <c r="G29" s="15" t="n">
        <v>151</v>
      </c>
      <c r="H29" s="15" t="n">
        <v>0</v>
      </c>
      <c r="I29" s="15" t="n">
        <v>0</v>
      </c>
      <c r="J29" s="15" t="n">
        <v>0</v>
      </c>
      <c r="K29" s="15" t="n">
        <v>0</v>
      </c>
      <c r="L29" s="14" t="str">
        <f aca="false">IFERROR(E29/I29,"n/a")</f>
        <v>n/a</v>
      </c>
      <c r="M29" s="16" t="str">
        <f aca="false">IFERROR(J29/I29,"n/a")</f>
        <v>n/a</v>
      </c>
      <c r="N29" s="14" t="str">
        <f aca="false">IFERROR(E29/J29,"n/a")</f>
        <v>n/a</v>
      </c>
      <c r="O29" s="16" t="str">
        <f aca="false">IFERROR(K29/I29,"n/a")</f>
        <v>n/a</v>
      </c>
      <c r="P29" s="16" t="str">
        <f aca="false">IFERROR(K29/J29,"n/a")</f>
        <v>n/a</v>
      </c>
      <c r="Q29" s="14" t="str">
        <f aca="false">IF(AND(K29&gt;0,E29&gt;0),E29/K29,"n/a")</f>
        <v>n/a</v>
      </c>
      <c r="R29" s="17" t="n">
        <f aca="false">IFERROR(H29/F29,"n/a")</f>
        <v>0</v>
      </c>
      <c r="S29" s="14" t="str">
        <f aca="false">IFERROR(E29/H29,"n/a")</f>
        <v>n/a</v>
      </c>
      <c r="T29" s="14" t="n">
        <f aca="false">IFERROR(E29/F29*1000,"n/a")</f>
        <v>338.877005347594</v>
      </c>
      <c r="U29" s="18" t="n">
        <f aca="false">IF(G29="","n/a",IFERROR(F29/G29,"n/a"))</f>
        <v>1.23841059602649</v>
      </c>
      <c r="V29" s="16" t="n">
        <f aca="false">IFERROR(E29/$E$31,"n/a")</f>
        <v>5.21235913603548E-005</v>
      </c>
      <c r="W29" s="16" t="n">
        <f aca="false">IFERROR(K29/$K$31,"n/a")</f>
        <v>0</v>
      </c>
      <c r="X29" s="18" t="str">
        <f aca="false">IFERROR(IF(AND(K29&gt;0,E29&gt;0),($Q$31)/(E29/K29),"n/a"),"n/a")</f>
        <v>n/a</v>
      </c>
      <c r="Y29" s="16" t="str">
        <f aca="false">IF(I29=0,"n/a",((J29/I29)+1.96^2/(2*I29)-1.96*SQRT((J29/I29)*(1-(J29/I29))/I29+1.96^2/(4*I29^2)))/(1+1.96^2/I29))</f>
        <v>n/a</v>
      </c>
      <c r="Z29" s="16" t="str">
        <f aca="false">IF(I29=0,"n/a",((J29/I29)+1.96^2/(2*I29)+1.96*SQRT((J29/I29)*(1-(J29/I29))/I29+1.96^2/(4*I29^2)))/(1+1.96^2/I29))</f>
        <v>n/a</v>
      </c>
      <c r="AA29" s="13" t="str">
        <f aca="false">IF(I29&gt;=100,"High",IF(I29&gt;=40,"Medium","Low"))</f>
        <v>Low</v>
      </c>
      <c r="AB29" s="29" t="str">
        <f aca="false">IF(I29=0,"n/a (not a lead-gen ad)",IF(E29&lt;$B$3,"Too early (low spend)",IF(K29=0,"Pause / fix — no meetings",IF(AND(Q29&lt;=$B$4*$Q$31,K29&gt;=$B$6),"SCALE",IF(Q29&gt;=$B$5*$Q$31,"REDUCE / fix","Hold &amp; watch")))))</f>
        <v>n/a (not a lead-gen ad)</v>
      </c>
      <c r="AC29" s="13" t="s">
        <v>108</v>
      </c>
      <c r="AD29" s="13" t="s">
        <v>108</v>
      </c>
      <c r="AE29" s="13" t="s">
        <v>108</v>
      </c>
    </row>
    <row r="30" customFormat="false" ht="15" hidden="false" customHeight="false" outlineLevel="0" collapsed="false">
      <c r="A30" s="13" t="s">
        <v>123</v>
      </c>
      <c r="B30" s="13" t="s">
        <v>87</v>
      </c>
      <c r="C30" s="13" t="s">
        <v>65</v>
      </c>
      <c r="D30" s="13" t="s">
        <v>61</v>
      </c>
      <c r="E30" s="14" t="n">
        <v>55.16</v>
      </c>
      <c r="F30" s="15" t="n">
        <v>172</v>
      </c>
      <c r="G30" s="15" t="n">
        <v>136</v>
      </c>
      <c r="H30" s="15" t="n">
        <v>2</v>
      </c>
      <c r="I30" s="15" t="n">
        <v>0</v>
      </c>
      <c r="J30" s="15" t="n">
        <v>0</v>
      </c>
      <c r="K30" s="15" t="n">
        <v>0</v>
      </c>
      <c r="L30" s="14" t="str">
        <f aca="false">IFERROR(E30/I30,"n/a")</f>
        <v>n/a</v>
      </c>
      <c r="M30" s="16" t="str">
        <f aca="false">IFERROR(J30/I30,"n/a")</f>
        <v>n/a</v>
      </c>
      <c r="N30" s="14" t="str">
        <f aca="false">IFERROR(E30/J30,"n/a")</f>
        <v>n/a</v>
      </c>
      <c r="O30" s="16" t="str">
        <f aca="false">IFERROR(K30/I30,"n/a")</f>
        <v>n/a</v>
      </c>
      <c r="P30" s="16" t="str">
        <f aca="false">IFERROR(K30/J30,"n/a")</f>
        <v>n/a</v>
      </c>
      <c r="Q30" s="14" t="str">
        <f aca="false">IF(AND(K30&gt;0,E30&gt;0),E30/K30,"n/a")</f>
        <v>n/a</v>
      </c>
      <c r="R30" s="17" t="n">
        <f aca="false">IFERROR(H30/F30,"n/a")</f>
        <v>0.0116279069767442</v>
      </c>
      <c r="S30" s="14" t="n">
        <f aca="false">IFERROR(E30/H30,"n/a")</f>
        <v>27.58</v>
      </c>
      <c r="T30" s="14" t="n">
        <f aca="false">IFERROR(E30/F30*1000,"n/a")</f>
        <v>320.697674418605</v>
      </c>
      <c r="U30" s="18" t="n">
        <f aca="false">IF(G30="","n/a",IFERROR(F30/G30,"n/a"))</f>
        <v>1.26470588235294</v>
      </c>
      <c r="V30" s="16" t="n">
        <f aca="false">IFERROR(E30/$E$31,"n/a")</f>
        <v>4.53706375167614E-005</v>
      </c>
      <c r="W30" s="16" t="n">
        <f aca="false">IFERROR(K30/$K$31,"n/a")</f>
        <v>0</v>
      </c>
      <c r="X30" s="18" t="str">
        <f aca="false">IFERROR(IF(AND(K30&gt;0,E30&gt;0),($Q$31)/(E30/K30),"n/a"),"n/a")</f>
        <v>n/a</v>
      </c>
      <c r="Y30" s="16" t="str">
        <f aca="false">IF(I30=0,"n/a",((J30/I30)+1.96^2/(2*I30)-1.96*SQRT((J30/I30)*(1-(J30/I30))/I30+1.96^2/(4*I30^2)))/(1+1.96^2/I30))</f>
        <v>n/a</v>
      </c>
      <c r="Z30" s="16" t="str">
        <f aca="false">IF(I30=0,"n/a",((J30/I30)+1.96^2/(2*I30)+1.96*SQRT((J30/I30)*(1-(J30/I30))/I30+1.96^2/(4*I30^2)))/(1+1.96^2/I30))</f>
        <v>n/a</v>
      </c>
      <c r="AA30" s="13" t="str">
        <f aca="false">IF(I30&gt;=100,"High",IF(I30&gt;=40,"Medium","Low"))</f>
        <v>Low</v>
      </c>
      <c r="AB30" s="29" t="str">
        <f aca="false">IF(I30=0,"n/a (not a lead-gen ad)",IF(E30&lt;$B$3,"Too early (low spend)",IF(K30=0,"Pause / fix — no meetings",IF(AND(Q30&lt;=$B$4*$Q$31,K30&gt;=$B$6),"SCALE",IF(Q30&gt;=$B$5*$Q$31,"REDUCE / fix","Hold &amp; watch")))))</f>
        <v>n/a (not a lead-gen ad)</v>
      </c>
      <c r="AC30" s="13" t="s">
        <v>108</v>
      </c>
      <c r="AD30" s="13" t="s">
        <v>108</v>
      </c>
      <c r="AE30" s="13" t="s">
        <v>108</v>
      </c>
    </row>
    <row r="31" customFormat="false" ht="15" hidden="false" customHeight="false" outlineLevel="0" collapsed="false">
      <c r="A31" s="19" t="s">
        <v>124</v>
      </c>
      <c r="B31" s="20"/>
      <c r="C31" s="20"/>
      <c r="D31" s="20"/>
      <c r="E31" s="21" t="n">
        <f aca="false">SUM(E9:E30)</f>
        <v>1215764.27</v>
      </c>
      <c r="F31" s="22" t="n">
        <f aca="false">SUM(F9:F30)</f>
        <v>5860053</v>
      </c>
      <c r="G31" s="20"/>
      <c r="H31" s="22" t="n">
        <f aca="false">SUM(H9:H30)</f>
        <v>30870</v>
      </c>
      <c r="I31" s="22" t="n">
        <f aca="false">SUM(I9:I30)</f>
        <v>1693</v>
      </c>
      <c r="J31" s="22" t="n">
        <f aca="false">SUM(J9:J30)</f>
        <v>417</v>
      </c>
      <c r="K31" s="22" t="n">
        <f aca="false">SUM(K9:K30)</f>
        <v>82</v>
      </c>
      <c r="L31" s="21" t="n">
        <f aca="false">IFERROR(E31/I31,"n/a")</f>
        <v>718.112386296515</v>
      </c>
      <c r="M31" s="23" t="n">
        <f aca="false">IFERROR(J31/I31,"n/a")</f>
        <v>0.246308328411105</v>
      </c>
      <c r="N31" s="21" t="n">
        <f aca="false">IFERROR(E31/J31,"n/a")</f>
        <v>2915.50184652278</v>
      </c>
      <c r="O31" s="23" t="n">
        <f aca="false">IFERROR(K31/I31,"n/a")</f>
        <v>0.0484347312463083</v>
      </c>
      <c r="P31" s="23" t="n">
        <f aca="false">IFERROR(K31/J31,"n/a")</f>
        <v>0.196642685851319</v>
      </c>
      <c r="Q31" s="21" t="n">
        <f aca="false">IF(AND(K31&gt;0,E31&gt;0),E31/K31,"n/a")</f>
        <v>14826.3935365854</v>
      </c>
      <c r="R31" s="24" t="n">
        <f aca="false">IFERROR(H31/F31,"n/a")</f>
        <v>0.00526787044417516</v>
      </c>
      <c r="S31" s="21" t="n">
        <f aca="false">IFERROR(E31/H31,"n/a")</f>
        <v>39.383358276644</v>
      </c>
      <c r="T31" s="21" t="n">
        <f aca="false">IFERROR(E31/F31*1000,"n/a")</f>
        <v>207.466429057894</v>
      </c>
      <c r="U31" s="25" t="str">
        <f aca="false">"n/a"</f>
        <v>n/a</v>
      </c>
      <c r="V31" s="23" t="n">
        <f aca="false">IFERROR(E31/$E$31,"n/a")</f>
        <v>1</v>
      </c>
      <c r="W31" s="23" t="n">
        <f aca="false">IFERROR(K31/$K$31,"n/a")</f>
        <v>1</v>
      </c>
      <c r="X31" s="25" t="n">
        <v>1</v>
      </c>
    </row>
  </sheetData>
  <conditionalFormatting sqref="AB9:AB30">
    <cfRule type="expression" priority="2" aboveAverage="0" equalAverage="0" bottom="0" percent="0" rank="0" text="" dxfId="0">
      <formula>LEFT(AB9,5)="SCALE"</formula>
    </cfRule>
    <cfRule type="expression" priority="3" aboveAverage="0" equalAverage="0" bottom="0" percent="0" rank="0" text="" dxfId="1">
      <formula>LEFT(AB9,6)="REDUCE"</formula>
    </cfRule>
    <cfRule type="expression" priority="4" aboveAverage="0" equalAverage="0" bottom="0" percent="0" rank="0" text="" dxfId="1">
      <formula>LEFT(AB9,5)="Pause"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44"/>
    <col collapsed="false" customWidth="true" hidden="false" outlineLevel="0" max="5" min="4" style="0" width="11"/>
    <col collapsed="false" customWidth="true" hidden="false" outlineLevel="0" max="7" min="6" style="0" width="13"/>
    <col collapsed="false" customWidth="true" hidden="false" outlineLevel="0" max="13" min="8" style="0" width="11"/>
    <col collapsed="false" customWidth="true" hidden="false" outlineLevel="0" max="15" min="14" style="0" width="13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42" hidden="false" customHeight="true" outlineLevel="0" collapsed="false">
      <c r="A4" s="12" t="s">
        <v>41</v>
      </c>
      <c r="B4" s="12" t="s">
        <v>127</v>
      </c>
      <c r="C4" s="12" t="s">
        <v>47</v>
      </c>
      <c r="D4" s="12" t="s">
        <v>128</v>
      </c>
      <c r="E4" s="12" t="s">
        <v>129</v>
      </c>
      <c r="F4" s="12" t="s">
        <v>130</v>
      </c>
      <c r="G4" s="12" t="s">
        <v>131</v>
      </c>
      <c r="H4" s="12" t="s">
        <v>6</v>
      </c>
      <c r="I4" s="12" t="s">
        <v>132</v>
      </c>
      <c r="J4" s="12" t="s">
        <v>133</v>
      </c>
      <c r="K4" s="12" t="s">
        <v>134</v>
      </c>
      <c r="L4" s="12" t="s">
        <v>135</v>
      </c>
      <c r="M4" s="12" t="s">
        <v>136</v>
      </c>
    </row>
    <row r="5" customFormat="false" ht="15" hidden="false" customHeight="false" outlineLevel="0" collapsed="false">
      <c r="A5" s="13" t="s">
        <v>60</v>
      </c>
      <c r="B5" s="15" t="n">
        <f aca="false">SUM(C5:G5)</f>
        <v>1208</v>
      </c>
      <c r="C5" s="15" t="n">
        <v>243</v>
      </c>
      <c r="D5" s="15" t="n">
        <v>213</v>
      </c>
      <c r="E5" s="15" t="n">
        <v>464</v>
      </c>
      <c r="F5" s="15" t="n">
        <v>125</v>
      </c>
      <c r="G5" s="15" t="n">
        <v>163</v>
      </c>
      <c r="H5" s="16" t="n">
        <f aca="false">IFERROR(C5/B5,0)</f>
        <v>0.201158940397351</v>
      </c>
      <c r="I5" s="16" t="n">
        <f aca="false">IFERROR(D5/B5,0)</f>
        <v>0.176324503311258</v>
      </c>
      <c r="J5" s="16" t="n">
        <f aca="false">IFERROR(E5/B5,0)</f>
        <v>0.384105960264901</v>
      </c>
      <c r="K5" s="16" t="n">
        <f aca="false">IFERROR(F5/B5,0)</f>
        <v>0.103476821192053</v>
      </c>
      <c r="L5" s="16" t="n">
        <f aca="false">IFERROR(G5/B5,0)</f>
        <v>0.134933774834437</v>
      </c>
      <c r="M5" s="16" t="n">
        <f aca="false">IFERROR((C5+D5)/B5,0)</f>
        <v>0.377483443708609</v>
      </c>
    </row>
    <row r="6" customFormat="false" ht="15" hidden="false" customHeight="false" outlineLevel="0" collapsed="false">
      <c r="A6" s="13" t="s">
        <v>62</v>
      </c>
      <c r="B6" s="15" t="n">
        <f aca="false">SUM(C6:G6)</f>
        <v>340</v>
      </c>
      <c r="C6" s="15" t="n">
        <v>126</v>
      </c>
      <c r="D6" s="15" t="n">
        <v>46</v>
      </c>
      <c r="E6" s="15" t="n">
        <v>131</v>
      </c>
      <c r="F6" s="15" t="n">
        <v>10</v>
      </c>
      <c r="G6" s="15" t="n">
        <v>27</v>
      </c>
      <c r="H6" s="16" t="n">
        <f aca="false">IFERROR(C6/B6,0)</f>
        <v>0.370588235294118</v>
      </c>
      <c r="I6" s="16" t="n">
        <f aca="false">IFERROR(D6/B6,0)</f>
        <v>0.135294117647059</v>
      </c>
      <c r="J6" s="16" t="n">
        <f aca="false">IFERROR(E6/B6,0)</f>
        <v>0.385294117647059</v>
      </c>
      <c r="K6" s="16" t="n">
        <f aca="false">IFERROR(F6/B6,0)</f>
        <v>0.0294117647058824</v>
      </c>
      <c r="L6" s="16" t="n">
        <f aca="false">IFERROR(G6/B6,0)</f>
        <v>0.0794117647058824</v>
      </c>
      <c r="M6" s="16" t="n">
        <f aca="false">IFERROR((C6+D6)/B6,0)</f>
        <v>0.505882352941176</v>
      </c>
    </row>
    <row r="7" customFormat="false" ht="15" hidden="false" customHeight="false" outlineLevel="0" collapsed="false">
      <c r="A7" s="13" t="s">
        <v>63</v>
      </c>
      <c r="B7" s="15" t="n">
        <f aca="false">SUM(C7:G7)</f>
        <v>139</v>
      </c>
      <c r="C7" s="15" t="n">
        <v>46</v>
      </c>
      <c r="D7" s="15" t="n">
        <v>20</v>
      </c>
      <c r="E7" s="15" t="n">
        <v>49</v>
      </c>
      <c r="F7" s="15" t="n">
        <v>5</v>
      </c>
      <c r="G7" s="15" t="n">
        <v>19</v>
      </c>
      <c r="H7" s="16" t="n">
        <f aca="false">IFERROR(C7/B7,0)</f>
        <v>0.330935251798561</v>
      </c>
      <c r="I7" s="16" t="n">
        <f aca="false">IFERROR(D7/B7,0)</f>
        <v>0.143884892086331</v>
      </c>
      <c r="J7" s="16" t="n">
        <f aca="false">IFERROR(E7/B7,0)</f>
        <v>0.352517985611511</v>
      </c>
      <c r="K7" s="16" t="n">
        <f aca="false">IFERROR(F7/B7,0)</f>
        <v>0.0359712230215827</v>
      </c>
      <c r="L7" s="16" t="n">
        <f aca="false">IFERROR(G7/B7,0)</f>
        <v>0.136690647482014</v>
      </c>
      <c r="M7" s="16" t="n">
        <f aca="false">IFERROR((C7+D7)/B7,0)</f>
        <v>0.474820143884892</v>
      </c>
    </row>
    <row r="8" customFormat="false" ht="15" hidden="false" customHeight="false" outlineLevel="0" collapsed="false">
      <c r="A8" s="13" t="s">
        <v>65</v>
      </c>
      <c r="B8" s="15" t="n">
        <f aca="false">SUM(C8:G8)</f>
        <v>6</v>
      </c>
      <c r="C8" s="15" t="n">
        <v>2</v>
      </c>
      <c r="D8" s="15" t="n">
        <v>2</v>
      </c>
      <c r="E8" s="15" t="n">
        <v>2</v>
      </c>
      <c r="F8" s="15" t="n">
        <v>0</v>
      </c>
      <c r="G8" s="15" t="n">
        <v>0</v>
      </c>
      <c r="H8" s="16" t="n">
        <f aca="false">IFERROR(C8/B8,0)</f>
        <v>0.333333333333333</v>
      </c>
      <c r="I8" s="16" t="n">
        <f aca="false">IFERROR(D8/B8,0)</f>
        <v>0.333333333333333</v>
      </c>
      <c r="J8" s="16" t="n">
        <f aca="false">IFERROR(E8/B8,0)</f>
        <v>0.333333333333333</v>
      </c>
      <c r="K8" s="16" t="n">
        <f aca="false">IFERROR(F8/B8,0)</f>
        <v>0</v>
      </c>
      <c r="L8" s="16" t="n">
        <f aca="false">IFERROR(G8/B8,0)</f>
        <v>0</v>
      </c>
      <c r="M8" s="16" t="n">
        <f aca="false">IFERROR((C8+D8)/B8,0)</f>
        <v>0.666666666666667</v>
      </c>
    </row>
    <row r="9" customFormat="false" ht="15" hidden="false" customHeight="false" outlineLevel="0" collapsed="false">
      <c r="A9" s="19" t="s">
        <v>69</v>
      </c>
      <c r="B9" s="22" t="n">
        <f aca="false">SUM(B5:B8)</f>
        <v>1693</v>
      </c>
      <c r="C9" s="22" t="n">
        <f aca="false">SUM(C5:C8)</f>
        <v>417</v>
      </c>
      <c r="D9" s="22" t="n">
        <f aca="false">SUM(D5:D8)</f>
        <v>281</v>
      </c>
      <c r="E9" s="22" t="n">
        <f aca="false">SUM(E5:E8)</f>
        <v>646</v>
      </c>
      <c r="F9" s="22" t="n">
        <f aca="false">SUM(F5:F8)</f>
        <v>140</v>
      </c>
      <c r="G9" s="22" t="n">
        <f aca="false">SUM(G5:G8)</f>
        <v>209</v>
      </c>
      <c r="H9" s="23" t="n">
        <f aca="false">IFERROR(C9/B9,0)</f>
        <v>0.246308328411105</v>
      </c>
      <c r="I9" s="23" t="n">
        <f aca="false">IFERROR(D9/B9,0)</f>
        <v>0.16597755463674</v>
      </c>
      <c r="J9" s="23" t="n">
        <f aca="false">IFERROR(E9/B9,0)</f>
        <v>0.381571175428234</v>
      </c>
      <c r="K9" s="23" t="n">
        <f aca="false">IFERROR(F9/B9,0)</f>
        <v>0.0826934435912581</v>
      </c>
      <c r="L9" s="23" t="n">
        <f aca="false">IFERROR(G9/B9,0)</f>
        <v>0.123449497932664</v>
      </c>
      <c r="M9" s="23" t="n">
        <f aca="false">IFERROR((C9+D9)/B9,0)</f>
        <v>0.412285883047844</v>
      </c>
    </row>
    <row r="11" customFormat="false" ht="15" hidden="false" customHeight="false" outlineLevel="0" collapsed="false">
      <c r="A11" s="26" t="s">
        <v>137</v>
      </c>
    </row>
    <row r="12" customFormat="false" ht="42" hidden="false" customHeight="true" outlineLevel="0" collapsed="false">
      <c r="A12" s="12" t="s">
        <v>80</v>
      </c>
      <c r="B12" s="12" t="s">
        <v>100</v>
      </c>
      <c r="C12" s="12" t="s">
        <v>41</v>
      </c>
      <c r="D12" s="12" t="s">
        <v>127</v>
      </c>
      <c r="E12" s="12" t="s">
        <v>47</v>
      </c>
      <c r="F12" s="12" t="s">
        <v>128</v>
      </c>
      <c r="G12" s="12" t="s">
        <v>129</v>
      </c>
      <c r="H12" s="12" t="s">
        <v>130</v>
      </c>
      <c r="I12" s="12" t="s">
        <v>131</v>
      </c>
      <c r="J12" s="12" t="s">
        <v>6</v>
      </c>
      <c r="K12" s="12" t="s">
        <v>132</v>
      </c>
      <c r="L12" s="12" t="s">
        <v>133</v>
      </c>
      <c r="M12" s="12" t="s">
        <v>134</v>
      </c>
      <c r="N12" s="12" t="s">
        <v>135</v>
      </c>
      <c r="O12" s="12" t="s">
        <v>136</v>
      </c>
    </row>
    <row r="13" customFormat="false" ht="15" hidden="false" customHeight="false" outlineLevel="0" collapsed="false">
      <c r="A13" s="13" t="s">
        <v>82</v>
      </c>
      <c r="B13" s="13" t="s">
        <v>107</v>
      </c>
      <c r="C13" s="13" t="s">
        <v>60</v>
      </c>
      <c r="D13" s="15" t="n">
        <f aca="false">SUM(E13:I13)</f>
        <v>421</v>
      </c>
      <c r="E13" s="15" t="n">
        <v>92</v>
      </c>
      <c r="F13" s="15" t="n">
        <v>74</v>
      </c>
      <c r="G13" s="15" t="n">
        <v>177</v>
      </c>
      <c r="H13" s="15" t="n">
        <v>30</v>
      </c>
      <c r="I13" s="15" t="n">
        <v>48</v>
      </c>
      <c r="J13" s="16" t="n">
        <f aca="false">IFERROR(E13/D13,0)</f>
        <v>0.218527315914489</v>
      </c>
      <c r="K13" s="16" t="n">
        <f aca="false">IFERROR(F13/D13,0)</f>
        <v>0.175771971496437</v>
      </c>
      <c r="L13" s="16" t="n">
        <f aca="false">IFERROR(G13/D13,0)</f>
        <v>0.420427553444181</v>
      </c>
      <c r="M13" s="16" t="n">
        <f aca="false">IFERROR(H13/D13,0)</f>
        <v>0.0712589073634204</v>
      </c>
      <c r="N13" s="16" t="n">
        <f aca="false">IFERROR(I13/D13,0)</f>
        <v>0.114014251781473</v>
      </c>
      <c r="O13" s="16" t="n">
        <f aca="false">IFERROR((E13+F13)/D13,0)</f>
        <v>0.394299287410926</v>
      </c>
    </row>
    <row r="14" customFormat="false" ht="15" hidden="false" customHeight="false" outlineLevel="0" collapsed="false">
      <c r="A14" s="13" t="s">
        <v>82</v>
      </c>
      <c r="B14" s="13" t="s">
        <v>112</v>
      </c>
      <c r="C14" s="13" t="s">
        <v>60</v>
      </c>
      <c r="D14" s="15" t="n">
        <f aca="false">SUM(E14:I14)</f>
        <v>361</v>
      </c>
      <c r="E14" s="15" t="n">
        <v>57</v>
      </c>
      <c r="F14" s="15" t="n">
        <v>79</v>
      </c>
      <c r="G14" s="15" t="n">
        <v>149</v>
      </c>
      <c r="H14" s="15" t="n">
        <v>34</v>
      </c>
      <c r="I14" s="15" t="n">
        <v>42</v>
      </c>
      <c r="J14" s="16" t="n">
        <f aca="false">IFERROR(E14/D14,0)</f>
        <v>0.157894736842105</v>
      </c>
      <c r="K14" s="16" t="n">
        <f aca="false">IFERROR(F14/D14,0)</f>
        <v>0.218836565096953</v>
      </c>
      <c r="L14" s="16" t="n">
        <f aca="false">IFERROR(G14/D14,0)</f>
        <v>0.412742382271468</v>
      </c>
      <c r="M14" s="16" t="n">
        <f aca="false">IFERROR(H14/D14,0)</f>
        <v>0.0941828254847646</v>
      </c>
      <c r="N14" s="16" t="n">
        <f aca="false">IFERROR(I14/D14,0)</f>
        <v>0.116343490304709</v>
      </c>
      <c r="O14" s="16" t="n">
        <f aca="false">IFERROR((E14+F14)/D14,0)</f>
        <v>0.376731301939058</v>
      </c>
    </row>
    <row r="15" customFormat="false" ht="15" hidden="false" customHeight="false" outlineLevel="0" collapsed="false">
      <c r="A15" s="13" t="s">
        <v>83</v>
      </c>
      <c r="B15" s="13" t="s">
        <v>109</v>
      </c>
      <c r="C15" s="13" t="s">
        <v>62</v>
      </c>
      <c r="D15" s="15" t="n">
        <f aca="false">SUM(E15:I15)</f>
        <v>199</v>
      </c>
      <c r="E15" s="15" t="n">
        <v>68</v>
      </c>
      <c r="F15" s="15" t="n">
        <v>27</v>
      </c>
      <c r="G15" s="15" t="n">
        <v>82</v>
      </c>
      <c r="H15" s="15" t="n">
        <v>4</v>
      </c>
      <c r="I15" s="15" t="n">
        <v>18</v>
      </c>
      <c r="J15" s="16" t="n">
        <f aca="false">IFERROR(E15/D15,0)</f>
        <v>0.341708542713568</v>
      </c>
      <c r="K15" s="16" t="n">
        <f aca="false">IFERROR(F15/D15,0)</f>
        <v>0.135678391959799</v>
      </c>
      <c r="L15" s="16" t="n">
        <f aca="false">IFERROR(G15/D15,0)</f>
        <v>0.412060301507538</v>
      </c>
      <c r="M15" s="16" t="n">
        <f aca="false">IFERROR(H15/D15,0)</f>
        <v>0.0201005025125628</v>
      </c>
      <c r="N15" s="16" t="n">
        <f aca="false">IFERROR(I15/D15,0)</f>
        <v>0.0904522613065327</v>
      </c>
      <c r="O15" s="16" t="n">
        <f aca="false">IFERROR((E15+F15)/D15,0)</f>
        <v>0.477386934673367</v>
      </c>
    </row>
    <row r="16" customFormat="false" ht="15" hidden="false" customHeight="false" outlineLevel="0" collapsed="false">
      <c r="A16" s="13" t="s">
        <v>84</v>
      </c>
      <c r="B16" s="13" t="s">
        <v>107</v>
      </c>
      <c r="C16" s="13" t="s">
        <v>60</v>
      </c>
      <c r="D16" s="15" t="n">
        <f aca="false">SUM(E16:I16)</f>
        <v>170</v>
      </c>
      <c r="E16" s="15" t="n">
        <v>42</v>
      </c>
      <c r="F16" s="15" t="n">
        <v>22</v>
      </c>
      <c r="G16" s="15" t="n">
        <v>54</v>
      </c>
      <c r="H16" s="15" t="n">
        <v>20</v>
      </c>
      <c r="I16" s="15" t="n">
        <v>32</v>
      </c>
      <c r="J16" s="16" t="n">
        <f aca="false">IFERROR(E16/D16,0)</f>
        <v>0.247058823529412</v>
      </c>
      <c r="K16" s="16" t="n">
        <f aca="false">IFERROR(F16/D16,0)</f>
        <v>0.129411764705882</v>
      </c>
      <c r="L16" s="16" t="n">
        <f aca="false">IFERROR(G16/D16,0)</f>
        <v>0.317647058823529</v>
      </c>
      <c r="M16" s="16" t="n">
        <f aca="false">IFERROR(H16/D16,0)</f>
        <v>0.117647058823529</v>
      </c>
      <c r="N16" s="16" t="n">
        <f aca="false">IFERROR(I16/D16,0)</f>
        <v>0.188235294117647</v>
      </c>
      <c r="O16" s="16" t="n">
        <f aca="false">IFERROR((E16+F16)/D16,0)</f>
        <v>0.376470588235294</v>
      </c>
    </row>
    <row r="17" customFormat="false" ht="15" hidden="false" customHeight="false" outlineLevel="0" collapsed="false">
      <c r="A17" s="13" t="s">
        <v>84</v>
      </c>
      <c r="B17" s="13" t="s">
        <v>112</v>
      </c>
      <c r="C17" s="13" t="s">
        <v>60</v>
      </c>
      <c r="D17" s="15" t="n">
        <f aca="false">SUM(E17:I17)</f>
        <v>154</v>
      </c>
      <c r="E17" s="15" t="n">
        <v>30</v>
      </c>
      <c r="F17" s="15" t="n">
        <v>16</v>
      </c>
      <c r="G17" s="15" t="n">
        <v>44</v>
      </c>
      <c r="H17" s="15" t="n">
        <v>34</v>
      </c>
      <c r="I17" s="15" t="n">
        <v>30</v>
      </c>
      <c r="J17" s="16" t="n">
        <f aca="false">IFERROR(E17/D17,0)</f>
        <v>0.194805194805195</v>
      </c>
      <c r="K17" s="16" t="n">
        <f aca="false">IFERROR(F17/D17,0)</f>
        <v>0.103896103896104</v>
      </c>
      <c r="L17" s="16" t="n">
        <f aca="false">IFERROR(G17/D17,0)</f>
        <v>0.285714285714286</v>
      </c>
      <c r="M17" s="16" t="n">
        <f aca="false">IFERROR(H17/D17,0)</f>
        <v>0.220779220779221</v>
      </c>
      <c r="N17" s="16" t="n">
        <f aca="false">IFERROR(I17/D17,0)</f>
        <v>0.194805194805195</v>
      </c>
      <c r="O17" s="16" t="n">
        <f aca="false">IFERROR((E17+F17)/D17,0)</f>
        <v>0.298701298701299</v>
      </c>
    </row>
    <row r="18" customFormat="false" ht="15" hidden="false" customHeight="false" outlineLevel="0" collapsed="false">
      <c r="A18" s="13" t="s">
        <v>83</v>
      </c>
      <c r="B18" s="13" t="s">
        <v>114</v>
      </c>
      <c r="C18" s="13" t="s">
        <v>62</v>
      </c>
      <c r="D18" s="15" t="n">
        <f aca="false">SUM(E18:I18)</f>
        <v>126</v>
      </c>
      <c r="E18" s="15" t="n">
        <v>47</v>
      </c>
      <c r="F18" s="15" t="n">
        <v>17</v>
      </c>
      <c r="G18" s="15" t="n">
        <v>47</v>
      </c>
      <c r="H18" s="15" t="n">
        <v>6</v>
      </c>
      <c r="I18" s="15" t="n">
        <v>9</v>
      </c>
      <c r="J18" s="16" t="n">
        <f aca="false">IFERROR(E18/D18,0)</f>
        <v>0.373015873015873</v>
      </c>
      <c r="K18" s="16" t="n">
        <f aca="false">IFERROR(F18/D18,0)</f>
        <v>0.134920634920635</v>
      </c>
      <c r="L18" s="16" t="n">
        <f aca="false">IFERROR(G18/D18,0)</f>
        <v>0.373015873015873</v>
      </c>
      <c r="M18" s="16" t="n">
        <f aca="false">IFERROR(H18/D18,0)</f>
        <v>0.0476190476190476</v>
      </c>
      <c r="N18" s="16" t="n">
        <f aca="false">IFERROR(I18/D18,0)</f>
        <v>0.0714285714285714</v>
      </c>
      <c r="O18" s="16" t="n">
        <f aca="false">IFERROR((E18+F18)/D18,0)</f>
        <v>0.507936507936508</v>
      </c>
    </row>
    <row r="19" customFormat="false" ht="15" hidden="false" customHeight="false" outlineLevel="0" collapsed="false">
      <c r="A19" s="13" t="s">
        <v>85</v>
      </c>
      <c r="B19" s="13" t="s">
        <v>113</v>
      </c>
      <c r="C19" s="13" t="s">
        <v>63</v>
      </c>
      <c r="D19" s="15" t="n">
        <f aca="false">SUM(E19:I19)</f>
        <v>95</v>
      </c>
      <c r="E19" s="15" t="n">
        <v>30</v>
      </c>
      <c r="F19" s="15" t="n">
        <v>13</v>
      </c>
      <c r="G19" s="15" t="n">
        <v>32</v>
      </c>
      <c r="H19" s="15" t="n">
        <v>5</v>
      </c>
      <c r="I19" s="15" t="n">
        <v>15</v>
      </c>
      <c r="J19" s="16" t="n">
        <f aca="false">IFERROR(E19/D19,0)</f>
        <v>0.315789473684211</v>
      </c>
      <c r="K19" s="16" t="n">
        <f aca="false">IFERROR(F19/D19,0)</f>
        <v>0.136842105263158</v>
      </c>
      <c r="L19" s="16" t="n">
        <f aca="false">IFERROR(G19/D19,0)</f>
        <v>0.336842105263158</v>
      </c>
      <c r="M19" s="16" t="n">
        <f aca="false">IFERROR(H19/D19,0)</f>
        <v>0.0526315789473684</v>
      </c>
      <c r="N19" s="16" t="n">
        <f aca="false">IFERROR(I19/D19,0)</f>
        <v>0.157894736842105</v>
      </c>
      <c r="O19" s="16" t="n">
        <f aca="false">IFERROR((E19+F19)/D19,0)</f>
        <v>0.452631578947368</v>
      </c>
    </row>
    <row r="20" customFormat="false" ht="15" hidden="false" customHeight="false" outlineLevel="0" collapsed="false">
      <c r="A20" s="13" t="s">
        <v>82</v>
      </c>
      <c r="B20" s="13" t="s">
        <v>116</v>
      </c>
      <c r="C20" s="13" t="s">
        <v>60</v>
      </c>
      <c r="D20" s="15" t="n">
        <f aca="false">SUM(E20:I20)</f>
        <v>48</v>
      </c>
      <c r="E20" s="15" t="n">
        <v>9</v>
      </c>
      <c r="F20" s="15" t="n">
        <v>12</v>
      </c>
      <c r="G20" s="15" t="n">
        <v>18</v>
      </c>
      <c r="H20" s="15" t="n">
        <v>3</v>
      </c>
      <c r="I20" s="15" t="n">
        <v>6</v>
      </c>
      <c r="J20" s="16" t="n">
        <f aca="false">IFERROR(E20/D20,0)</f>
        <v>0.1875</v>
      </c>
      <c r="K20" s="16" t="n">
        <f aca="false">IFERROR(F20/D20,0)</f>
        <v>0.25</v>
      </c>
      <c r="L20" s="16" t="n">
        <f aca="false">IFERROR(G20/D20,0)</f>
        <v>0.375</v>
      </c>
      <c r="M20" s="16" t="n">
        <f aca="false">IFERROR(H20/D20,0)</f>
        <v>0.0625</v>
      </c>
      <c r="N20" s="16" t="n">
        <f aca="false">IFERROR(I20/D20,0)</f>
        <v>0.125</v>
      </c>
      <c r="O20" s="16" t="n">
        <f aca="false">IFERROR((E20+F20)/D20,0)</f>
        <v>0.4375</v>
      </c>
    </row>
    <row r="21" customFormat="false" ht="15" hidden="false" customHeight="false" outlineLevel="0" collapsed="false">
      <c r="A21" s="13" t="s">
        <v>85</v>
      </c>
      <c r="B21" s="13" t="s">
        <v>115</v>
      </c>
      <c r="C21" s="13" t="s">
        <v>63</v>
      </c>
      <c r="D21" s="15" t="n">
        <f aca="false">SUM(E21:I21)</f>
        <v>44</v>
      </c>
      <c r="E21" s="15" t="n">
        <v>16</v>
      </c>
      <c r="F21" s="15" t="n">
        <v>7</v>
      </c>
      <c r="G21" s="15" t="n">
        <v>17</v>
      </c>
      <c r="H21" s="15" t="n">
        <v>0</v>
      </c>
      <c r="I21" s="15" t="n">
        <v>4</v>
      </c>
      <c r="J21" s="16" t="n">
        <f aca="false">IFERROR(E21/D21,0)</f>
        <v>0.363636363636364</v>
      </c>
      <c r="K21" s="16" t="n">
        <f aca="false">IFERROR(F21/D21,0)</f>
        <v>0.159090909090909</v>
      </c>
      <c r="L21" s="16" t="n">
        <f aca="false">IFERROR(G21/D21,0)</f>
        <v>0.386363636363636</v>
      </c>
      <c r="M21" s="16" t="n">
        <f aca="false">IFERROR(H21/D21,0)</f>
        <v>0</v>
      </c>
      <c r="N21" s="16" t="n">
        <f aca="false">IFERROR(I21/D21,0)</f>
        <v>0.0909090909090909</v>
      </c>
      <c r="O21" s="16" t="n">
        <f aca="false">IFERROR((E21+F21)/D21,0)</f>
        <v>0.522727272727273</v>
      </c>
    </row>
    <row r="22" customFormat="false" ht="15" hidden="false" customHeight="false" outlineLevel="0" collapsed="false">
      <c r="A22" s="13" t="s">
        <v>82</v>
      </c>
      <c r="B22" s="13" t="s">
        <v>115</v>
      </c>
      <c r="C22" s="13" t="s">
        <v>60</v>
      </c>
      <c r="D22" s="15" t="n">
        <f aca="false">SUM(E22:I22)</f>
        <v>30</v>
      </c>
      <c r="E22" s="15" t="n">
        <v>9</v>
      </c>
      <c r="F22" s="15" t="n">
        <v>7</v>
      </c>
      <c r="G22" s="15" t="n">
        <v>10</v>
      </c>
      <c r="H22" s="15" t="n">
        <v>2</v>
      </c>
      <c r="I22" s="15" t="n">
        <v>2</v>
      </c>
      <c r="J22" s="16" t="n">
        <f aca="false">IFERROR(E22/D22,0)</f>
        <v>0.3</v>
      </c>
      <c r="K22" s="16" t="n">
        <f aca="false">IFERROR(F22/D22,0)</f>
        <v>0.233333333333333</v>
      </c>
      <c r="L22" s="16" t="n">
        <f aca="false">IFERROR(G22/D22,0)</f>
        <v>0.333333333333333</v>
      </c>
      <c r="M22" s="16" t="n">
        <f aca="false">IFERROR(H22/D22,0)</f>
        <v>0.0666666666666667</v>
      </c>
      <c r="N22" s="16" t="n">
        <f aca="false">IFERROR(I22/D22,0)</f>
        <v>0.0666666666666667</v>
      </c>
      <c r="O22" s="16" t="n">
        <f aca="false">IFERROR((E22+F22)/D22,0)</f>
        <v>0.533333333333333</v>
      </c>
    </row>
    <row r="23" customFormat="false" ht="15" hidden="false" customHeight="false" outlineLevel="0" collapsed="false">
      <c r="A23" s="13" t="s">
        <v>84</v>
      </c>
      <c r="B23" s="13" t="s">
        <v>116</v>
      </c>
      <c r="C23" s="13" t="s">
        <v>60</v>
      </c>
      <c r="D23" s="15" t="n">
        <f aca="false">SUM(E23:I23)</f>
        <v>24</v>
      </c>
      <c r="E23" s="15" t="n">
        <v>4</v>
      </c>
      <c r="F23" s="15" t="n">
        <v>3</v>
      </c>
      <c r="G23" s="15" t="n">
        <v>12</v>
      </c>
      <c r="H23" s="15" t="n">
        <v>2</v>
      </c>
      <c r="I23" s="15" t="n">
        <v>3</v>
      </c>
      <c r="J23" s="16" t="n">
        <f aca="false">IFERROR(E23/D23,0)</f>
        <v>0.166666666666667</v>
      </c>
      <c r="K23" s="16" t="n">
        <f aca="false">IFERROR(F23/D23,0)</f>
        <v>0.125</v>
      </c>
      <c r="L23" s="16" t="n">
        <f aca="false">IFERROR(G23/D23,0)</f>
        <v>0.5</v>
      </c>
      <c r="M23" s="16" t="n">
        <f aca="false">IFERROR(H23/D23,0)</f>
        <v>0.0833333333333333</v>
      </c>
      <c r="N23" s="16" t="n">
        <f aca="false">IFERROR(I23/D23,0)</f>
        <v>0.125</v>
      </c>
      <c r="O23" s="16" t="n">
        <f aca="false">IFERROR((E23+F23)/D23,0)</f>
        <v>0.291666666666667</v>
      </c>
    </row>
    <row r="24" customFormat="false" ht="15" hidden="false" customHeight="false" outlineLevel="0" collapsed="false">
      <c r="A24" s="13" t="s">
        <v>86</v>
      </c>
      <c r="B24" s="13" t="s">
        <v>114</v>
      </c>
      <c r="C24" s="13" t="s">
        <v>62</v>
      </c>
      <c r="D24" s="15" t="n">
        <f aca="false">SUM(E24:I24)</f>
        <v>15</v>
      </c>
      <c r="E24" s="15" t="n">
        <v>11</v>
      </c>
      <c r="F24" s="15" t="n">
        <v>2</v>
      </c>
      <c r="G24" s="15" t="n">
        <v>2</v>
      </c>
      <c r="H24" s="15" t="n">
        <v>0</v>
      </c>
      <c r="I24" s="15" t="n">
        <v>0</v>
      </c>
      <c r="J24" s="16" t="n">
        <f aca="false">IFERROR(E24/D24,0)</f>
        <v>0.733333333333333</v>
      </c>
      <c r="K24" s="16" t="n">
        <f aca="false">IFERROR(F24/D24,0)</f>
        <v>0.133333333333333</v>
      </c>
      <c r="L24" s="16" t="n">
        <f aca="false">IFERROR(G24/D24,0)</f>
        <v>0.133333333333333</v>
      </c>
      <c r="M24" s="16" t="n">
        <f aca="false">IFERROR(H24/D24,0)</f>
        <v>0</v>
      </c>
      <c r="N24" s="16" t="n">
        <f aca="false">IFERROR(I24/D24,0)</f>
        <v>0</v>
      </c>
      <c r="O24" s="16" t="n">
        <f aca="false">IFERROR((E24+F24)/D24,0)</f>
        <v>0.866666666666667</v>
      </c>
    </row>
    <row r="25" customFormat="false" ht="15" hidden="false" customHeight="false" outlineLevel="0" collapsed="false">
      <c r="A25" s="13" t="s">
        <v>87</v>
      </c>
      <c r="B25" s="13" t="s">
        <v>109</v>
      </c>
      <c r="C25" s="13" t="s">
        <v>65</v>
      </c>
      <c r="D25" s="15" t="n">
        <f aca="false">SUM(E25:I25)</f>
        <v>6</v>
      </c>
      <c r="E25" s="15" t="n">
        <v>2</v>
      </c>
      <c r="F25" s="15" t="n">
        <v>2</v>
      </c>
      <c r="G25" s="15" t="n">
        <v>2</v>
      </c>
      <c r="H25" s="15" t="n">
        <v>0</v>
      </c>
      <c r="I25" s="15" t="n">
        <v>0</v>
      </c>
      <c r="J25" s="16" t="n">
        <f aca="false">IFERROR(E25/D25,0)</f>
        <v>0.333333333333333</v>
      </c>
      <c r="K25" s="16" t="n">
        <f aca="false">IFERROR(F25/D25,0)</f>
        <v>0.333333333333333</v>
      </c>
      <c r="L25" s="16" t="n">
        <f aca="false">IFERROR(G25/D25,0)</f>
        <v>0.333333333333333</v>
      </c>
      <c r="M25" s="16" t="n">
        <f aca="false">IFERROR(H25/D25,0)</f>
        <v>0</v>
      </c>
      <c r="N25" s="16" t="n">
        <f aca="false">IFERROR(I25/D25,0)</f>
        <v>0</v>
      </c>
      <c r="O25" s="16" t="n">
        <f aca="false">IFERROR((E25+F25)/D25,0)</f>
        <v>0.666666666666667</v>
      </c>
    </row>
    <row r="26" customFormat="false" ht="15" hidden="false" customHeight="false" outlineLevel="0" collapsed="false">
      <c r="A26" s="19" t="s">
        <v>69</v>
      </c>
      <c r="B26" s="20"/>
      <c r="C26" s="20"/>
      <c r="D26" s="22" t="n">
        <f aca="false">SUM(D13:D25)</f>
        <v>1693</v>
      </c>
      <c r="E26" s="22" t="n">
        <f aca="false">SUM(E13:E25)</f>
        <v>417</v>
      </c>
      <c r="F26" s="22" t="n">
        <f aca="false">SUM(F13:F25)</f>
        <v>281</v>
      </c>
      <c r="G26" s="22" t="n">
        <f aca="false">SUM(G13:G25)</f>
        <v>646</v>
      </c>
      <c r="H26" s="22" t="n">
        <f aca="false">SUM(H13:H25)</f>
        <v>140</v>
      </c>
      <c r="I26" s="22" t="n">
        <f aca="false">SUM(I13:I25)</f>
        <v>209</v>
      </c>
      <c r="J26" s="23" t="n">
        <f aca="false">IFERROR(E26/D26,0)</f>
        <v>0.246308328411105</v>
      </c>
      <c r="K26" s="23" t="n">
        <f aca="false">IFERROR(F26/D26,0)</f>
        <v>0.16597755463674</v>
      </c>
      <c r="L26" s="23" t="n">
        <f aca="false">IFERROR(G26/D26,0)</f>
        <v>0.381571175428234</v>
      </c>
      <c r="M26" s="23" t="n">
        <f aca="false">IFERROR(H26/D26,0)</f>
        <v>0.0826934435912581</v>
      </c>
      <c r="N26" s="23" t="n">
        <f aca="false">IFERROR(I26/D26,0)</f>
        <v>0.123449497932664</v>
      </c>
      <c r="O26" s="23" t="n">
        <f aca="false">IFERROR((E26+F26)/D26,0)</f>
        <v>0.412285883047844</v>
      </c>
    </row>
    <row r="28" customFormat="false" ht="15" hidden="false" customHeight="false" outlineLevel="0" collapsed="false">
      <c r="A28" s="26" t="s">
        <v>138</v>
      </c>
    </row>
    <row r="29" customFormat="false" ht="42" hidden="false" customHeight="true" outlineLevel="0" collapsed="false">
      <c r="A29" s="12" t="s">
        <v>139</v>
      </c>
      <c r="B29" s="12" t="s">
        <v>127</v>
      </c>
      <c r="C29" s="12" t="s">
        <v>140</v>
      </c>
    </row>
    <row r="30" customFormat="false" ht="15" hidden="false" customHeight="false" outlineLevel="0" collapsed="false">
      <c r="A30" s="13" t="s">
        <v>141</v>
      </c>
      <c r="B30" s="15" t="n">
        <v>579</v>
      </c>
      <c r="C30" s="16" t="n">
        <f aca="false">B30/SUM($B$30:$B$49)</f>
        <v>0.341996455995275</v>
      </c>
    </row>
    <row r="31" customFormat="false" ht="15" hidden="false" customHeight="false" outlineLevel="0" collapsed="false">
      <c r="A31" s="13" t="s">
        <v>47</v>
      </c>
      <c r="B31" s="15" t="n">
        <v>275</v>
      </c>
      <c r="C31" s="16" t="n">
        <f aca="false">B31/SUM($B$30:$B$49)</f>
        <v>0.1624335499114</v>
      </c>
    </row>
    <row r="32" customFormat="false" ht="15" hidden="false" customHeight="false" outlineLevel="0" collapsed="false">
      <c r="A32" s="13" t="s">
        <v>142</v>
      </c>
      <c r="B32" s="15" t="n">
        <v>167</v>
      </c>
      <c r="C32" s="16" t="n">
        <f aca="false">B32/SUM($B$30:$B$49)</f>
        <v>0.0986414648552865</v>
      </c>
    </row>
    <row r="33" customFormat="false" ht="15" hidden="false" customHeight="false" outlineLevel="0" collapsed="false">
      <c r="A33" s="13" t="s">
        <v>143</v>
      </c>
      <c r="B33" s="15" t="n">
        <v>140</v>
      </c>
      <c r="C33" s="16" t="n">
        <f aca="false">B33/SUM($B$30:$B$49)</f>
        <v>0.0826934435912581</v>
      </c>
    </row>
    <row r="34" customFormat="false" ht="15" hidden="false" customHeight="false" outlineLevel="0" collapsed="false">
      <c r="A34" s="13" t="s">
        <v>144</v>
      </c>
      <c r="B34" s="15" t="n">
        <v>98</v>
      </c>
      <c r="C34" s="16" t="n">
        <f aca="false">B34/SUM($B$30:$B$49)</f>
        <v>0.0578854105138807</v>
      </c>
    </row>
    <row r="35" customFormat="false" ht="15" hidden="false" customHeight="false" outlineLevel="0" collapsed="false">
      <c r="A35" s="13" t="s">
        <v>145</v>
      </c>
      <c r="B35" s="15" t="n">
        <v>92</v>
      </c>
      <c r="C35" s="16" t="n">
        <f aca="false">B35/SUM($B$30:$B$49)</f>
        <v>0.0543414057885411</v>
      </c>
    </row>
    <row r="36" customFormat="false" ht="15" hidden="false" customHeight="false" outlineLevel="0" collapsed="false">
      <c r="A36" s="13" t="s">
        <v>146</v>
      </c>
      <c r="B36" s="15" t="n">
        <v>71</v>
      </c>
      <c r="C36" s="16" t="n">
        <f aca="false">B36/SUM($B$30:$B$49)</f>
        <v>0.0419373892498523</v>
      </c>
    </row>
    <row r="37" customFormat="false" ht="15" hidden="false" customHeight="false" outlineLevel="0" collapsed="false">
      <c r="A37" s="13" t="s">
        <v>147</v>
      </c>
      <c r="B37" s="15" t="n">
        <v>61</v>
      </c>
      <c r="C37" s="16" t="n">
        <f aca="false">B37/SUM($B$30:$B$49)</f>
        <v>0.0360307147076196</v>
      </c>
    </row>
    <row r="38" customFormat="false" ht="15" hidden="false" customHeight="false" outlineLevel="0" collapsed="false">
      <c r="A38" s="13" t="s">
        <v>148</v>
      </c>
      <c r="B38" s="15" t="n">
        <v>55</v>
      </c>
      <c r="C38" s="16" t="n">
        <f aca="false">B38/SUM($B$30:$B$49)</f>
        <v>0.03248670998228</v>
      </c>
    </row>
    <row r="39" customFormat="false" ht="15" hidden="false" customHeight="false" outlineLevel="0" collapsed="false">
      <c r="A39" s="13" t="s">
        <v>149</v>
      </c>
      <c r="B39" s="15" t="n">
        <v>46</v>
      </c>
      <c r="C39" s="16" t="n">
        <f aca="false">B39/SUM($B$30:$B$49)</f>
        <v>0.0271707028942705</v>
      </c>
    </row>
    <row r="40" customFormat="false" ht="15" hidden="false" customHeight="false" outlineLevel="0" collapsed="false">
      <c r="A40" s="13" t="s">
        <v>150</v>
      </c>
      <c r="B40" s="15" t="n">
        <v>42</v>
      </c>
      <c r="C40" s="16" t="n">
        <f aca="false">B40/SUM($B$30:$B$49)</f>
        <v>0.0248080330773774</v>
      </c>
    </row>
    <row r="41" customFormat="false" ht="15" hidden="false" customHeight="false" outlineLevel="0" collapsed="false">
      <c r="A41" s="13" t="s">
        <v>151</v>
      </c>
      <c r="B41" s="15" t="n">
        <v>21</v>
      </c>
      <c r="C41" s="16" t="n">
        <f aca="false">B41/SUM($B$30:$B$49)</f>
        <v>0.0124040165386887</v>
      </c>
    </row>
    <row r="42" customFormat="false" ht="15" hidden="false" customHeight="false" outlineLevel="0" collapsed="false">
      <c r="A42" s="13" t="s">
        <v>152</v>
      </c>
      <c r="B42" s="15" t="n">
        <v>12</v>
      </c>
      <c r="C42" s="16" t="n">
        <f aca="false">B42/SUM($B$30:$B$49)</f>
        <v>0.00708800945067927</v>
      </c>
    </row>
    <row r="43" customFormat="false" ht="15" hidden="false" customHeight="false" outlineLevel="0" collapsed="false">
      <c r="A43" s="13" t="s">
        <v>153</v>
      </c>
      <c r="B43" s="15" t="n">
        <v>12</v>
      </c>
      <c r="C43" s="16" t="n">
        <f aca="false">B43/SUM($B$30:$B$49)</f>
        <v>0.00708800945067927</v>
      </c>
    </row>
    <row r="44" customFormat="false" ht="15" hidden="false" customHeight="false" outlineLevel="0" collapsed="false">
      <c r="A44" s="13" t="s">
        <v>154</v>
      </c>
      <c r="B44" s="15" t="n">
        <v>9</v>
      </c>
      <c r="C44" s="16" t="n">
        <f aca="false">B44/SUM($B$30:$B$49)</f>
        <v>0.00531600708800945</v>
      </c>
    </row>
    <row r="45" customFormat="false" ht="15" hidden="false" customHeight="false" outlineLevel="0" collapsed="false">
      <c r="A45" s="13" t="s">
        <v>155</v>
      </c>
      <c r="B45" s="15" t="n">
        <v>6</v>
      </c>
      <c r="C45" s="16" t="n">
        <f aca="false">B45/SUM($B$30:$B$49)</f>
        <v>0.00354400472533963</v>
      </c>
    </row>
    <row r="46" customFormat="false" ht="15" hidden="false" customHeight="false" outlineLevel="0" collapsed="false">
      <c r="A46" s="13" t="s">
        <v>156</v>
      </c>
      <c r="B46" s="15" t="n">
        <v>3</v>
      </c>
      <c r="C46" s="16" t="n">
        <f aca="false">B46/SUM($B$30:$B$49)</f>
        <v>0.00177200236266982</v>
      </c>
    </row>
    <row r="47" customFormat="false" ht="15" hidden="false" customHeight="false" outlineLevel="0" collapsed="false">
      <c r="A47" s="13" t="s">
        <v>157</v>
      </c>
      <c r="B47" s="15" t="n">
        <v>2</v>
      </c>
      <c r="C47" s="16" t="n">
        <f aca="false">B47/SUM($B$30:$B$49)</f>
        <v>0.00118133490844654</v>
      </c>
    </row>
    <row r="48" customFormat="false" ht="15" hidden="false" customHeight="false" outlineLevel="0" collapsed="false">
      <c r="A48" s="13" t="s">
        <v>158</v>
      </c>
      <c r="B48" s="15" t="n">
        <v>1</v>
      </c>
      <c r="C48" s="16" t="n">
        <f aca="false">B48/SUM($B$30:$B$49)</f>
        <v>0.000590667454223272</v>
      </c>
    </row>
    <row r="49" customFormat="false" ht="15" hidden="false" customHeight="false" outlineLevel="0" collapsed="false">
      <c r="A49" s="13" t="s">
        <v>159</v>
      </c>
      <c r="B49" s="15" t="n">
        <v>1</v>
      </c>
      <c r="C49" s="16" t="n">
        <f aca="false">B49/SUM($B$30:$B$49)</f>
        <v>0.000590667454223272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10" min="9" style="0" width="15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</row>
    <row r="4" customFormat="false" ht="42" hidden="false" customHeight="true" outlineLevel="0" collapsed="false">
      <c r="A4" s="12" t="s">
        <v>162</v>
      </c>
      <c r="B4" s="12" t="s">
        <v>127</v>
      </c>
      <c r="C4" s="12" t="s">
        <v>47</v>
      </c>
      <c r="D4" s="12" t="s">
        <v>6</v>
      </c>
      <c r="E4" s="12" t="s">
        <v>163</v>
      </c>
      <c r="F4" s="12" t="s">
        <v>132</v>
      </c>
      <c r="G4" s="12" t="s">
        <v>129</v>
      </c>
      <c r="H4" s="12" t="s">
        <v>133</v>
      </c>
      <c r="I4" s="12" t="s">
        <v>164</v>
      </c>
      <c r="J4" s="12" t="s">
        <v>165</v>
      </c>
      <c r="K4" s="12" t="s">
        <v>166</v>
      </c>
    </row>
    <row r="5" customFormat="false" ht="15" hidden="false" customHeight="false" outlineLevel="0" collapsed="false">
      <c r="A5" s="30" t="n">
        <v>46296</v>
      </c>
      <c r="B5" s="15" t="n">
        <v>33</v>
      </c>
      <c r="C5" s="15" t="n">
        <v>9</v>
      </c>
      <c r="D5" s="16" t="n">
        <f aca="false">C5/B5</f>
        <v>0.272727272727273</v>
      </c>
      <c r="E5" s="15" t="n">
        <v>0</v>
      </c>
      <c r="F5" s="16" t="n">
        <f aca="false">E5/B5</f>
        <v>0</v>
      </c>
      <c r="G5" s="15" t="n">
        <v>14</v>
      </c>
      <c r="H5" s="16" t="n">
        <f aca="false">G5/B5</f>
        <v>0.424242424242424</v>
      </c>
      <c r="I5" s="31" t="n">
        <f aca="false">AVERAGE(B5:B5)</f>
        <v>33</v>
      </c>
      <c r="J5" s="16" t="n">
        <f aca="false">SUM(C5:C5)/SUM(B5:B5)</f>
        <v>0.272727272727273</v>
      </c>
      <c r="K5" s="13" t="str">
        <f aca="false">IF(F5&gt;0.3,"Immature — too fresh",IF(F5&gt;0.15,"Maturing","Mature"))</f>
        <v>Mature</v>
      </c>
    </row>
    <row r="6" customFormat="false" ht="15" hidden="false" customHeight="false" outlineLevel="0" collapsed="false">
      <c r="A6" s="30" t="n">
        <v>46297</v>
      </c>
      <c r="B6" s="15" t="n">
        <v>19</v>
      </c>
      <c r="C6" s="15" t="n">
        <v>8</v>
      </c>
      <c r="D6" s="16" t="n">
        <f aca="false">C6/B6</f>
        <v>0.421052631578947</v>
      </c>
      <c r="E6" s="15" t="n">
        <v>2</v>
      </c>
      <c r="F6" s="16" t="n">
        <f aca="false">E6/B6</f>
        <v>0.105263157894737</v>
      </c>
      <c r="G6" s="15" t="n">
        <v>2</v>
      </c>
      <c r="H6" s="16" t="n">
        <f aca="false">G6/B6</f>
        <v>0.105263157894737</v>
      </c>
      <c r="I6" s="31" t="n">
        <f aca="false">AVERAGE(B5:B6)</f>
        <v>26</v>
      </c>
      <c r="J6" s="16" t="n">
        <f aca="false">SUM(C5:C6)/SUM(B5:B6)</f>
        <v>0.326923076923077</v>
      </c>
      <c r="K6" s="13" t="str">
        <f aca="false">IF(F6&gt;0.3,"Immature — too fresh",IF(F6&gt;0.15,"Maturing","Mature"))</f>
        <v>Mature</v>
      </c>
    </row>
    <row r="7" customFormat="false" ht="15" hidden="false" customHeight="false" outlineLevel="0" collapsed="false">
      <c r="A7" s="30" t="n">
        <v>46298</v>
      </c>
      <c r="B7" s="15" t="n">
        <v>23</v>
      </c>
      <c r="C7" s="15" t="n">
        <v>8</v>
      </c>
      <c r="D7" s="16" t="n">
        <f aca="false">C7/B7</f>
        <v>0.347826086956522</v>
      </c>
      <c r="E7" s="15" t="n">
        <v>1</v>
      </c>
      <c r="F7" s="16" t="n">
        <f aca="false">E7/B7</f>
        <v>0.0434782608695652</v>
      </c>
      <c r="G7" s="15" t="n">
        <v>7</v>
      </c>
      <c r="H7" s="16" t="n">
        <f aca="false">G7/B7</f>
        <v>0.304347826086957</v>
      </c>
      <c r="I7" s="31" t="n">
        <f aca="false">AVERAGE(B5:B7)</f>
        <v>25</v>
      </c>
      <c r="J7" s="16" t="n">
        <f aca="false">SUM(C5:C7)/SUM(B5:B7)</f>
        <v>0.333333333333333</v>
      </c>
      <c r="K7" s="13" t="str">
        <f aca="false">IF(F7&gt;0.3,"Immature — too fresh",IF(F7&gt;0.15,"Maturing","Mature"))</f>
        <v>Mature</v>
      </c>
    </row>
    <row r="8" customFormat="false" ht="15" hidden="false" customHeight="false" outlineLevel="0" collapsed="false">
      <c r="A8" s="30" t="n">
        <v>46299</v>
      </c>
      <c r="B8" s="15" t="n">
        <v>42</v>
      </c>
      <c r="C8" s="15" t="n">
        <v>17</v>
      </c>
      <c r="D8" s="16" t="n">
        <f aca="false">C8/B8</f>
        <v>0.404761904761905</v>
      </c>
      <c r="E8" s="15" t="n">
        <v>4</v>
      </c>
      <c r="F8" s="16" t="n">
        <f aca="false">E8/B8</f>
        <v>0.0952380952380952</v>
      </c>
      <c r="G8" s="15" t="n">
        <v>11</v>
      </c>
      <c r="H8" s="16" t="n">
        <f aca="false">G8/B8</f>
        <v>0.261904761904762</v>
      </c>
      <c r="I8" s="31" t="n">
        <f aca="false">AVERAGE(B5:B8)</f>
        <v>29.25</v>
      </c>
      <c r="J8" s="16" t="n">
        <f aca="false">SUM(C5:C8)/SUM(B5:B8)</f>
        <v>0.358974358974359</v>
      </c>
      <c r="K8" s="13" t="str">
        <f aca="false">IF(F8&gt;0.3,"Immature — too fresh",IF(F8&gt;0.15,"Maturing","Mature"))</f>
        <v>Mature</v>
      </c>
    </row>
    <row r="9" customFormat="false" ht="15" hidden="false" customHeight="false" outlineLevel="0" collapsed="false">
      <c r="A9" s="30" t="n">
        <v>46300</v>
      </c>
      <c r="B9" s="15" t="n">
        <v>40</v>
      </c>
      <c r="C9" s="15" t="n">
        <v>16</v>
      </c>
      <c r="D9" s="16" t="n">
        <f aca="false">C9/B9</f>
        <v>0.4</v>
      </c>
      <c r="E9" s="15" t="n">
        <v>4</v>
      </c>
      <c r="F9" s="16" t="n">
        <f aca="false">E9/B9</f>
        <v>0.1</v>
      </c>
      <c r="G9" s="15" t="n">
        <v>9</v>
      </c>
      <c r="H9" s="16" t="n">
        <f aca="false">G9/B9</f>
        <v>0.225</v>
      </c>
      <c r="I9" s="31" t="n">
        <f aca="false">AVERAGE(B5:B9)</f>
        <v>31.4</v>
      </c>
      <c r="J9" s="16" t="n">
        <f aca="false">SUM(C5:C9)/SUM(B5:B9)</f>
        <v>0.369426751592357</v>
      </c>
      <c r="K9" s="13" t="str">
        <f aca="false">IF(F9&gt;0.3,"Immature — too fresh",IF(F9&gt;0.15,"Maturing","Mature"))</f>
        <v>Mature</v>
      </c>
    </row>
    <row r="10" customFormat="false" ht="15" hidden="false" customHeight="false" outlineLevel="0" collapsed="false">
      <c r="A10" s="30" t="n">
        <v>46301</v>
      </c>
      <c r="B10" s="15" t="n">
        <v>34</v>
      </c>
      <c r="C10" s="15" t="n">
        <v>11</v>
      </c>
      <c r="D10" s="16" t="n">
        <f aca="false">C10/B10</f>
        <v>0.323529411764706</v>
      </c>
      <c r="E10" s="15" t="n">
        <v>3</v>
      </c>
      <c r="F10" s="16" t="n">
        <f aca="false">E10/B10</f>
        <v>0.0882352941176471</v>
      </c>
      <c r="G10" s="15" t="n">
        <v>10</v>
      </c>
      <c r="H10" s="16" t="n">
        <f aca="false">G10/B10</f>
        <v>0.294117647058824</v>
      </c>
      <c r="I10" s="31" t="n">
        <f aca="false">AVERAGE(B5:B10)</f>
        <v>31.8333333333333</v>
      </c>
      <c r="J10" s="16" t="n">
        <f aca="false">SUM(C5:C10)/SUM(B5:B10)</f>
        <v>0.361256544502618</v>
      </c>
      <c r="K10" s="13" t="str">
        <f aca="false">IF(F10&gt;0.3,"Immature — too fresh",IF(F10&gt;0.15,"Maturing","Mature"))</f>
        <v>Mature</v>
      </c>
    </row>
    <row r="11" customFormat="false" ht="15" hidden="false" customHeight="false" outlineLevel="0" collapsed="false">
      <c r="A11" s="30" t="n">
        <v>46302</v>
      </c>
      <c r="B11" s="15" t="n">
        <v>39</v>
      </c>
      <c r="C11" s="15" t="n">
        <v>14</v>
      </c>
      <c r="D11" s="16" t="n">
        <f aca="false">C11/B11</f>
        <v>0.358974358974359</v>
      </c>
      <c r="E11" s="15" t="n">
        <v>9</v>
      </c>
      <c r="F11" s="16" t="n">
        <f aca="false">E11/B11</f>
        <v>0.230769230769231</v>
      </c>
      <c r="G11" s="15" t="n">
        <v>11</v>
      </c>
      <c r="H11" s="16" t="n">
        <f aca="false">G11/B11</f>
        <v>0.282051282051282</v>
      </c>
      <c r="I11" s="31" t="n">
        <f aca="false">AVERAGE(B5:B11)</f>
        <v>32.8571428571429</v>
      </c>
      <c r="J11" s="16" t="n">
        <f aca="false">SUM(C5:C11)/SUM(B5:B11)</f>
        <v>0.360869565217391</v>
      </c>
      <c r="K11" s="13" t="str">
        <f aca="false">IF(F11&gt;0.3,"Immature — too fresh",IF(F11&gt;0.15,"Maturing","Mature"))</f>
        <v>Maturing</v>
      </c>
    </row>
    <row r="12" customFormat="false" ht="15" hidden="false" customHeight="false" outlineLevel="0" collapsed="false">
      <c r="A12" s="30" t="n">
        <v>46303</v>
      </c>
      <c r="B12" s="15" t="n">
        <v>28</v>
      </c>
      <c r="C12" s="15" t="n">
        <v>12</v>
      </c>
      <c r="D12" s="16" t="n">
        <f aca="false">C12/B12</f>
        <v>0.428571428571429</v>
      </c>
      <c r="E12" s="15" t="n">
        <v>1</v>
      </c>
      <c r="F12" s="16" t="n">
        <f aca="false">E12/B12</f>
        <v>0.0357142857142857</v>
      </c>
      <c r="G12" s="15" t="n">
        <v>9</v>
      </c>
      <c r="H12" s="16" t="n">
        <f aca="false">G12/B12</f>
        <v>0.321428571428571</v>
      </c>
      <c r="I12" s="31" t="n">
        <f aca="false">AVERAGE(B6:B12)</f>
        <v>32.1428571428571</v>
      </c>
      <c r="J12" s="16" t="n">
        <f aca="false">SUM(C6:C12)/SUM(B6:B12)</f>
        <v>0.382222222222222</v>
      </c>
      <c r="K12" s="13" t="str">
        <f aca="false">IF(F12&gt;0.3,"Immature — too fresh",IF(F12&gt;0.15,"Maturing","Mature"))</f>
        <v>Mature</v>
      </c>
    </row>
    <row r="13" customFormat="false" ht="15" hidden="false" customHeight="false" outlineLevel="0" collapsed="false">
      <c r="A13" s="30" t="n">
        <v>46304</v>
      </c>
      <c r="B13" s="15" t="n">
        <v>35</v>
      </c>
      <c r="C13" s="15" t="n">
        <v>14</v>
      </c>
      <c r="D13" s="16" t="n">
        <f aca="false">C13/B13</f>
        <v>0.4</v>
      </c>
      <c r="E13" s="15" t="n">
        <v>5</v>
      </c>
      <c r="F13" s="16" t="n">
        <f aca="false">E13/B13</f>
        <v>0.142857142857143</v>
      </c>
      <c r="G13" s="15" t="n">
        <v>5</v>
      </c>
      <c r="H13" s="16" t="n">
        <f aca="false">G13/B13</f>
        <v>0.142857142857143</v>
      </c>
      <c r="I13" s="31" t="n">
        <f aca="false">AVERAGE(B7:B13)</f>
        <v>34.4285714285714</v>
      </c>
      <c r="J13" s="16" t="n">
        <f aca="false">SUM(C7:C13)/SUM(B7:B13)</f>
        <v>0.381742738589212</v>
      </c>
      <c r="K13" s="13" t="str">
        <f aca="false">IF(F13&gt;0.3,"Immature — too fresh",IF(F13&gt;0.15,"Maturing","Mature"))</f>
        <v>Mature</v>
      </c>
    </row>
    <row r="14" customFormat="false" ht="15" hidden="false" customHeight="false" outlineLevel="0" collapsed="false">
      <c r="A14" s="30" t="n">
        <v>46305</v>
      </c>
      <c r="B14" s="15" t="n">
        <v>23</v>
      </c>
      <c r="C14" s="15" t="n">
        <v>6</v>
      </c>
      <c r="D14" s="16" t="n">
        <f aca="false">C14/B14</f>
        <v>0.260869565217391</v>
      </c>
      <c r="E14" s="15" t="n">
        <v>4</v>
      </c>
      <c r="F14" s="16" t="n">
        <f aca="false">E14/B14</f>
        <v>0.173913043478261</v>
      </c>
      <c r="G14" s="15" t="n">
        <v>6</v>
      </c>
      <c r="H14" s="16" t="n">
        <f aca="false">G14/B14</f>
        <v>0.260869565217391</v>
      </c>
      <c r="I14" s="31" t="n">
        <f aca="false">AVERAGE(B8:B14)</f>
        <v>34.4285714285714</v>
      </c>
      <c r="J14" s="16" t="n">
        <f aca="false">SUM(C8:C14)/SUM(B8:B14)</f>
        <v>0.37344398340249</v>
      </c>
      <c r="K14" s="13" t="str">
        <f aca="false">IF(F14&gt;0.3,"Immature — too fresh",IF(F14&gt;0.15,"Maturing","Mature"))</f>
        <v>Maturing</v>
      </c>
    </row>
    <row r="15" customFormat="false" ht="15" hidden="false" customHeight="false" outlineLevel="0" collapsed="false">
      <c r="A15" s="30" t="n">
        <v>46306</v>
      </c>
      <c r="B15" s="15" t="n">
        <v>35</v>
      </c>
      <c r="C15" s="15" t="n">
        <v>9</v>
      </c>
      <c r="D15" s="16" t="n">
        <f aca="false">C15/B15</f>
        <v>0.257142857142857</v>
      </c>
      <c r="E15" s="15" t="n">
        <v>0</v>
      </c>
      <c r="F15" s="16" t="n">
        <f aca="false">E15/B15</f>
        <v>0</v>
      </c>
      <c r="G15" s="15" t="n">
        <v>13</v>
      </c>
      <c r="H15" s="16" t="n">
        <f aca="false">G15/B15</f>
        <v>0.371428571428571</v>
      </c>
      <c r="I15" s="31" t="n">
        <f aca="false">AVERAGE(B9:B15)</f>
        <v>33.4285714285714</v>
      </c>
      <c r="J15" s="16" t="n">
        <f aca="false">SUM(C9:C15)/SUM(B9:B15)</f>
        <v>0.35042735042735</v>
      </c>
      <c r="K15" s="13" t="str">
        <f aca="false">IF(F15&gt;0.3,"Immature — too fresh",IF(F15&gt;0.15,"Maturing","Mature"))</f>
        <v>Mature</v>
      </c>
    </row>
    <row r="16" customFormat="false" ht="15" hidden="false" customHeight="false" outlineLevel="0" collapsed="false">
      <c r="A16" s="30" t="n">
        <v>46307</v>
      </c>
      <c r="B16" s="15" t="n">
        <v>21</v>
      </c>
      <c r="C16" s="15" t="n">
        <v>5</v>
      </c>
      <c r="D16" s="16" t="n">
        <f aca="false">C16/B16</f>
        <v>0.238095238095238</v>
      </c>
      <c r="E16" s="15" t="n">
        <v>1</v>
      </c>
      <c r="F16" s="16" t="n">
        <f aca="false">E16/B16</f>
        <v>0.0476190476190476</v>
      </c>
      <c r="G16" s="15" t="n">
        <v>7</v>
      </c>
      <c r="H16" s="16" t="n">
        <f aca="false">G16/B16</f>
        <v>0.333333333333333</v>
      </c>
      <c r="I16" s="31" t="n">
        <f aca="false">AVERAGE(B10:B16)</f>
        <v>30.7142857142857</v>
      </c>
      <c r="J16" s="16" t="n">
        <f aca="false">SUM(C10:C16)/SUM(B10:B16)</f>
        <v>0.330232558139535</v>
      </c>
      <c r="K16" s="13" t="str">
        <f aca="false">IF(F16&gt;0.3,"Immature — too fresh",IF(F16&gt;0.15,"Maturing","Mature"))</f>
        <v>Mature</v>
      </c>
    </row>
    <row r="17" customFormat="false" ht="15" hidden="false" customHeight="false" outlineLevel="0" collapsed="false">
      <c r="A17" s="30" t="n">
        <v>46308</v>
      </c>
      <c r="B17" s="15" t="n">
        <v>41</v>
      </c>
      <c r="C17" s="15" t="n">
        <v>16</v>
      </c>
      <c r="D17" s="16" t="n">
        <f aca="false">C17/B17</f>
        <v>0.390243902439024</v>
      </c>
      <c r="E17" s="15" t="n">
        <v>1</v>
      </c>
      <c r="F17" s="16" t="n">
        <f aca="false">E17/B17</f>
        <v>0.024390243902439</v>
      </c>
      <c r="G17" s="15" t="n">
        <v>16</v>
      </c>
      <c r="H17" s="16" t="n">
        <f aca="false">G17/B17</f>
        <v>0.390243902439024</v>
      </c>
      <c r="I17" s="31" t="n">
        <f aca="false">AVERAGE(B11:B17)</f>
        <v>31.7142857142857</v>
      </c>
      <c r="J17" s="16" t="n">
        <f aca="false">SUM(C11:C17)/SUM(B11:B17)</f>
        <v>0.342342342342342</v>
      </c>
      <c r="K17" s="13" t="str">
        <f aca="false">IF(F17&gt;0.3,"Immature — too fresh",IF(F17&gt;0.15,"Maturing","Mature"))</f>
        <v>Mature</v>
      </c>
    </row>
    <row r="18" customFormat="false" ht="15" hidden="false" customHeight="false" outlineLevel="0" collapsed="false">
      <c r="A18" s="30" t="n">
        <v>46309</v>
      </c>
      <c r="B18" s="15" t="n">
        <v>37</v>
      </c>
      <c r="C18" s="15" t="n">
        <v>9</v>
      </c>
      <c r="D18" s="16" t="n">
        <f aca="false">C18/B18</f>
        <v>0.243243243243243</v>
      </c>
      <c r="E18" s="15" t="n">
        <v>5</v>
      </c>
      <c r="F18" s="16" t="n">
        <f aca="false">E18/B18</f>
        <v>0.135135135135135</v>
      </c>
      <c r="G18" s="15" t="n">
        <v>15</v>
      </c>
      <c r="H18" s="16" t="n">
        <f aca="false">G18/B18</f>
        <v>0.405405405405405</v>
      </c>
      <c r="I18" s="31" t="n">
        <f aca="false">AVERAGE(B12:B18)</f>
        <v>31.4285714285714</v>
      </c>
      <c r="J18" s="16" t="n">
        <f aca="false">SUM(C12:C18)/SUM(B12:B18)</f>
        <v>0.322727272727273</v>
      </c>
      <c r="K18" s="13" t="str">
        <f aca="false">IF(F18&gt;0.3,"Immature — too fresh",IF(F18&gt;0.15,"Maturing","Mature"))</f>
        <v>Mature</v>
      </c>
    </row>
    <row r="19" customFormat="false" ht="15" hidden="false" customHeight="false" outlineLevel="0" collapsed="false">
      <c r="A19" s="30" t="n">
        <v>46310</v>
      </c>
      <c r="B19" s="15" t="n">
        <v>48</v>
      </c>
      <c r="C19" s="15" t="n">
        <v>13</v>
      </c>
      <c r="D19" s="16" t="n">
        <f aca="false">C19/B19</f>
        <v>0.270833333333333</v>
      </c>
      <c r="E19" s="15" t="n">
        <v>3</v>
      </c>
      <c r="F19" s="16" t="n">
        <f aca="false">E19/B19</f>
        <v>0.0625</v>
      </c>
      <c r="G19" s="15" t="n">
        <v>18</v>
      </c>
      <c r="H19" s="16" t="n">
        <f aca="false">G19/B19</f>
        <v>0.375</v>
      </c>
      <c r="I19" s="31" t="n">
        <f aca="false">AVERAGE(B13:B19)</f>
        <v>34.2857142857143</v>
      </c>
      <c r="J19" s="16" t="n">
        <f aca="false">SUM(C13:C19)/SUM(B13:B19)</f>
        <v>0.3</v>
      </c>
      <c r="K19" s="13" t="str">
        <f aca="false">IF(F19&gt;0.3,"Immature — too fresh",IF(F19&gt;0.15,"Maturing","Mature"))</f>
        <v>Mature</v>
      </c>
    </row>
    <row r="20" customFormat="false" ht="15" hidden="false" customHeight="false" outlineLevel="0" collapsed="false">
      <c r="A20" s="30" t="n">
        <v>46311</v>
      </c>
      <c r="B20" s="15" t="n">
        <v>47</v>
      </c>
      <c r="C20" s="15" t="n">
        <v>12</v>
      </c>
      <c r="D20" s="16" t="n">
        <f aca="false">C20/B20</f>
        <v>0.25531914893617</v>
      </c>
      <c r="E20" s="15" t="n">
        <v>2</v>
      </c>
      <c r="F20" s="16" t="n">
        <f aca="false">E20/B20</f>
        <v>0.0425531914893617</v>
      </c>
      <c r="G20" s="15" t="n">
        <v>24</v>
      </c>
      <c r="H20" s="16" t="n">
        <f aca="false">G20/B20</f>
        <v>0.51063829787234</v>
      </c>
      <c r="I20" s="31" t="n">
        <f aca="false">AVERAGE(B14:B20)</f>
        <v>36</v>
      </c>
      <c r="J20" s="16" t="n">
        <f aca="false">SUM(C14:C20)/SUM(B14:B20)</f>
        <v>0.277777777777778</v>
      </c>
      <c r="K20" s="13" t="str">
        <f aca="false">IF(F20&gt;0.3,"Immature — too fresh",IF(F20&gt;0.15,"Maturing","Mature"))</f>
        <v>Mature</v>
      </c>
    </row>
    <row r="21" customFormat="false" ht="15" hidden="false" customHeight="false" outlineLevel="0" collapsed="false">
      <c r="A21" s="30" t="n">
        <v>46312</v>
      </c>
      <c r="B21" s="15" t="n">
        <v>57</v>
      </c>
      <c r="C21" s="15" t="n">
        <v>18</v>
      </c>
      <c r="D21" s="16" t="n">
        <f aca="false">C21/B21</f>
        <v>0.315789473684211</v>
      </c>
      <c r="E21" s="15" t="n">
        <v>6</v>
      </c>
      <c r="F21" s="16" t="n">
        <f aca="false">E21/B21</f>
        <v>0.105263157894737</v>
      </c>
      <c r="G21" s="15" t="n">
        <v>22</v>
      </c>
      <c r="H21" s="16" t="n">
        <f aca="false">G21/B21</f>
        <v>0.385964912280702</v>
      </c>
      <c r="I21" s="31" t="n">
        <f aca="false">AVERAGE(B15:B21)</f>
        <v>40.8571428571429</v>
      </c>
      <c r="J21" s="16" t="n">
        <f aca="false">SUM(C15:C21)/SUM(B15:B21)</f>
        <v>0.286713286713287</v>
      </c>
      <c r="K21" s="13" t="str">
        <f aca="false">IF(F21&gt;0.3,"Immature — too fresh",IF(F21&gt;0.15,"Maturing","Mature"))</f>
        <v>Mature</v>
      </c>
    </row>
    <row r="22" customFormat="false" ht="15" hidden="false" customHeight="false" outlineLevel="0" collapsed="false">
      <c r="A22" s="30" t="n">
        <v>46313</v>
      </c>
      <c r="B22" s="15" t="n">
        <v>146</v>
      </c>
      <c r="C22" s="15" t="n">
        <v>36</v>
      </c>
      <c r="D22" s="16" t="n">
        <f aca="false">C22/B22</f>
        <v>0.246575342465753</v>
      </c>
      <c r="E22" s="15" t="n">
        <v>16</v>
      </c>
      <c r="F22" s="16" t="n">
        <f aca="false">E22/B22</f>
        <v>0.10958904109589</v>
      </c>
      <c r="G22" s="15" t="n">
        <v>67</v>
      </c>
      <c r="H22" s="16" t="n">
        <f aca="false">G22/B22</f>
        <v>0.458904109589041</v>
      </c>
      <c r="I22" s="31" t="n">
        <f aca="false">AVERAGE(B16:B22)</f>
        <v>56.7142857142857</v>
      </c>
      <c r="J22" s="16" t="n">
        <f aca="false">SUM(C16:C22)/SUM(B16:B22)</f>
        <v>0.27455919395466</v>
      </c>
      <c r="K22" s="13" t="str">
        <f aca="false">IF(F22&gt;0.3,"Immature — too fresh",IF(F22&gt;0.15,"Maturing","Mature"))</f>
        <v>Mature</v>
      </c>
    </row>
    <row r="23" customFormat="false" ht="15" hidden="false" customHeight="false" outlineLevel="0" collapsed="false">
      <c r="A23" s="30" t="n">
        <v>46314</v>
      </c>
      <c r="B23" s="15" t="n">
        <v>70</v>
      </c>
      <c r="C23" s="15" t="n">
        <v>13</v>
      </c>
      <c r="D23" s="16" t="n">
        <f aca="false">C23/B23</f>
        <v>0.185714285714286</v>
      </c>
      <c r="E23" s="15" t="n">
        <v>7</v>
      </c>
      <c r="F23" s="16" t="n">
        <f aca="false">E23/B23</f>
        <v>0.1</v>
      </c>
      <c r="G23" s="15" t="n">
        <v>34</v>
      </c>
      <c r="H23" s="16" t="n">
        <f aca="false">G23/B23</f>
        <v>0.485714285714286</v>
      </c>
      <c r="I23" s="31" t="n">
        <f aca="false">AVERAGE(B17:B23)</f>
        <v>63.7142857142857</v>
      </c>
      <c r="J23" s="16" t="n">
        <f aca="false">SUM(C17:C23)/SUM(B17:B23)</f>
        <v>0.262331838565022</v>
      </c>
      <c r="K23" s="13" t="str">
        <f aca="false">IF(F23&gt;0.3,"Immature — too fresh",IF(F23&gt;0.15,"Maturing","Mature"))</f>
        <v>Mature</v>
      </c>
    </row>
    <row r="24" customFormat="false" ht="15" hidden="false" customHeight="false" outlineLevel="0" collapsed="false">
      <c r="A24" s="30" t="n">
        <v>46315</v>
      </c>
      <c r="B24" s="15" t="n">
        <v>84</v>
      </c>
      <c r="C24" s="15" t="n">
        <v>20</v>
      </c>
      <c r="D24" s="16" t="n">
        <f aca="false">C24/B24</f>
        <v>0.238095238095238</v>
      </c>
      <c r="E24" s="15" t="n">
        <v>5</v>
      </c>
      <c r="F24" s="16" t="n">
        <f aca="false">E24/B24</f>
        <v>0.0595238095238095</v>
      </c>
      <c r="G24" s="15" t="n">
        <v>48</v>
      </c>
      <c r="H24" s="16" t="n">
        <f aca="false">G24/B24</f>
        <v>0.571428571428571</v>
      </c>
      <c r="I24" s="31" t="n">
        <f aca="false">AVERAGE(B18:B24)</f>
        <v>69.8571428571429</v>
      </c>
      <c r="J24" s="16" t="n">
        <f aca="false">SUM(C18:C24)/SUM(B18:B24)</f>
        <v>0.247443762781186</v>
      </c>
      <c r="K24" s="13" t="str">
        <f aca="false">IF(F24&gt;0.3,"Immature — too fresh",IF(F24&gt;0.15,"Maturing","Mature"))</f>
        <v>Mature</v>
      </c>
    </row>
    <row r="25" customFormat="false" ht="15" hidden="false" customHeight="false" outlineLevel="0" collapsed="false">
      <c r="A25" s="30" t="n">
        <v>46316</v>
      </c>
      <c r="B25" s="15" t="n">
        <v>118</v>
      </c>
      <c r="C25" s="15" t="n">
        <v>33</v>
      </c>
      <c r="D25" s="16" t="n">
        <f aca="false">C25/B25</f>
        <v>0.279661016949153</v>
      </c>
      <c r="E25" s="15" t="n">
        <v>4</v>
      </c>
      <c r="F25" s="16" t="n">
        <f aca="false">E25/B25</f>
        <v>0.0338983050847458</v>
      </c>
      <c r="G25" s="15" t="n">
        <v>60</v>
      </c>
      <c r="H25" s="16" t="n">
        <f aca="false">G25/B25</f>
        <v>0.508474576271186</v>
      </c>
      <c r="I25" s="31" t="n">
        <f aca="false">AVERAGE(B19:B25)</f>
        <v>81.4285714285714</v>
      </c>
      <c r="J25" s="16" t="n">
        <f aca="false">SUM(C19:C25)/SUM(B19:B25)</f>
        <v>0.254385964912281</v>
      </c>
      <c r="K25" s="13" t="str">
        <f aca="false">IF(F25&gt;0.3,"Immature — too fresh",IF(F25&gt;0.15,"Maturing","Mature"))</f>
        <v>Mature</v>
      </c>
    </row>
    <row r="26" customFormat="false" ht="15" hidden="false" customHeight="false" outlineLevel="0" collapsed="false">
      <c r="A26" s="30" t="n">
        <v>46317</v>
      </c>
      <c r="B26" s="15" t="n">
        <v>85</v>
      </c>
      <c r="C26" s="15" t="n">
        <v>14</v>
      </c>
      <c r="D26" s="16" t="n">
        <f aca="false">C26/B26</f>
        <v>0.164705882352941</v>
      </c>
      <c r="E26" s="15" t="n">
        <v>4</v>
      </c>
      <c r="F26" s="16" t="n">
        <f aca="false">E26/B26</f>
        <v>0.0470588235294118</v>
      </c>
      <c r="G26" s="15" t="n">
        <v>51</v>
      </c>
      <c r="H26" s="16" t="n">
        <f aca="false">G26/B26</f>
        <v>0.6</v>
      </c>
      <c r="I26" s="31" t="n">
        <f aca="false">AVERAGE(B20:B26)</f>
        <v>86.7142857142857</v>
      </c>
      <c r="J26" s="16" t="n">
        <f aca="false">SUM(C20:C26)/SUM(B20:B26)</f>
        <v>0.240527182866557</v>
      </c>
      <c r="K26" s="13" t="str">
        <f aca="false">IF(F26&gt;0.3,"Immature — too fresh",IF(F26&gt;0.15,"Maturing","Mature"))</f>
        <v>Mature</v>
      </c>
    </row>
    <row r="27" customFormat="false" ht="15" hidden="false" customHeight="false" outlineLevel="0" collapsed="false">
      <c r="A27" s="30" t="n">
        <v>46318</v>
      </c>
      <c r="B27" s="15" t="n">
        <v>125</v>
      </c>
      <c r="C27" s="15" t="n">
        <v>28</v>
      </c>
      <c r="D27" s="16" t="n">
        <f aca="false">C27/B27</f>
        <v>0.224</v>
      </c>
      <c r="E27" s="15" t="n">
        <v>5</v>
      </c>
      <c r="F27" s="16" t="n">
        <f aca="false">E27/B27</f>
        <v>0.04</v>
      </c>
      <c r="G27" s="15" t="n">
        <v>59</v>
      </c>
      <c r="H27" s="16" t="n">
        <f aca="false">G27/B27</f>
        <v>0.472</v>
      </c>
      <c r="I27" s="31" t="n">
        <f aca="false">AVERAGE(B21:B27)</f>
        <v>97.8571428571429</v>
      </c>
      <c r="J27" s="16" t="n">
        <f aca="false">SUM(C21:C27)/SUM(B21:B27)</f>
        <v>0.236496350364964</v>
      </c>
      <c r="K27" s="13" t="str">
        <f aca="false">IF(F27&gt;0.3,"Immature — too fresh",IF(F27&gt;0.15,"Maturing","Mature"))</f>
        <v>Mature</v>
      </c>
    </row>
    <row r="28" customFormat="false" ht="15" hidden="false" customHeight="false" outlineLevel="0" collapsed="false">
      <c r="A28" s="30" t="n">
        <v>46319</v>
      </c>
      <c r="B28" s="15" t="n">
        <v>80</v>
      </c>
      <c r="C28" s="15" t="n">
        <v>19</v>
      </c>
      <c r="D28" s="16" t="n">
        <f aca="false">C28/B28</f>
        <v>0.2375</v>
      </c>
      <c r="E28" s="15" t="n">
        <v>3</v>
      </c>
      <c r="F28" s="16" t="n">
        <f aca="false">E28/B28</f>
        <v>0.0375</v>
      </c>
      <c r="G28" s="15" t="n">
        <v>42</v>
      </c>
      <c r="H28" s="16" t="n">
        <f aca="false">G28/B28</f>
        <v>0.525</v>
      </c>
      <c r="I28" s="31" t="n">
        <f aca="false">AVERAGE(B22:B28)</f>
        <v>101.142857142857</v>
      </c>
      <c r="J28" s="16" t="n">
        <f aca="false">SUM(C22:C28)/SUM(B22:B28)</f>
        <v>0.230225988700565</v>
      </c>
      <c r="K28" s="13" t="str">
        <f aca="false">IF(F28&gt;0.3,"Immature — too fresh",IF(F28&gt;0.15,"Maturing","Mature"))</f>
        <v>Mature</v>
      </c>
    </row>
    <row r="29" customFormat="false" ht="15" hidden="false" customHeight="false" outlineLevel="0" collapsed="false">
      <c r="A29" s="30" t="n">
        <v>46320</v>
      </c>
      <c r="B29" s="15" t="n">
        <v>117</v>
      </c>
      <c r="C29" s="15" t="n">
        <v>23</v>
      </c>
      <c r="D29" s="16" t="n">
        <f aca="false">C29/B29</f>
        <v>0.196581196581197</v>
      </c>
      <c r="E29" s="15" t="n">
        <v>13</v>
      </c>
      <c r="F29" s="16" t="n">
        <f aca="false">E29/B29</f>
        <v>0.111111111111111</v>
      </c>
      <c r="G29" s="15" t="n">
        <v>65</v>
      </c>
      <c r="H29" s="16" t="n">
        <f aca="false">G29/B29</f>
        <v>0.555555555555556</v>
      </c>
      <c r="I29" s="31" t="n">
        <f aca="false">AVERAGE(B23:B29)</f>
        <v>97</v>
      </c>
      <c r="J29" s="16" t="n">
        <f aca="false">SUM(C23:C29)/SUM(B23:B29)</f>
        <v>0.220913107511046</v>
      </c>
      <c r="K29" s="13" t="str">
        <f aca="false">IF(F29&gt;0.3,"Immature — too fresh",IF(F29&gt;0.15,"Maturing","Mature"))</f>
        <v>Mature</v>
      </c>
    </row>
    <row r="30" customFormat="false" ht="15" hidden="false" customHeight="false" outlineLevel="0" collapsed="false">
      <c r="A30" s="30" t="n">
        <v>46321</v>
      </c>
      <c r="B30" s="15" t="n">
        <v>50</v>
      </c>
      <c r="C30" s="15" t="n">
        <v>8</v>
      </c>
      <c r="D30" s="16" t="n">
        <f aca="false">C30/B30</f>
        <v>0.16</v>
      </c>
      <c r="E30" s="15" t="n">
        <v>11</v>
      </c>
      <c r="F30" s="16" t="n">
        <f aca="false">E30/B30</f>
        <v>0.22</v>
      </c>
      <c r="G30" s="15" t="n">
        <v>21</v>
      </c>
      <c r="H30" s="16" t="n">
        <f aca="false">G30/B30</f>
        <v>0.42</v>
      </c>
      <c r="I30" s="31" t="n">
        <f aca="false">AVERAGE(B24:B30)</f>
        <v>94.1428571428571</v>
      </c>
      <c r="J30" s="16" t="n">
        <f aca="false">SUM(C24:C30)/SUM(B24:B30)</f>
        <v>0.220030349013657</v>
      </c>
      <c r="K30" s="13" t="str">
        <f aca="false">IF(F30&gt;0.3,"Immature — too fresh",IF(F30&gt;0.15,"Maturing","Mature"))</f>
        <v>Maturing</v>
      </c>
    </row>
    <row r="31" customFormat="false" ht="15" hidden="false" customHeight="false" outlineLevel="0" collapsed="false">
      <c r="A31" s="30" t="n">
        <v>46322</v>
      </c>
      <c r="B31" s="15" t="n">
        <v>89</v>
      </c>
      <c r="C31" s="15" t="n">
        <v>11</v>
      </c>
      <c r="D31" s="16" t="n">
        <f aca="false">C31/B31</f>
        <v>0.123595505617978</v>
      </c>
      <c r="E31" s="15" t="n">
        <v>62</v>
      </c>
      <c r="F31" s="16" t="n">
        <f aca="false">E31/B31</f>
        <v>0.696629213483146</v>
      </c>
      <c r="G31" s="15" t="n">
        <v>0</v>
      </c>
      <c r="H31" s="16" t="n">
        <f aca="false">G31/B31</f>
        <v>0</v>
      </c>
      <c r="I31" s="31" t="n">
        <f aca="false">AVERAGE(B25:B31)</f>
        <v>94.8571428571429</v>
      </c>
      <c r="J31" s="16" t="n">
        <f aca="false">SUM(C25:C31)/SUM(B25:B31)</f>
        <v>0.204819277108434</v>
      </c>
      <c r="K31" s="13" t="str">
        <f aca="false">IF(F31&gt;0.3,"Immature — too fresh",IF(F31&gt;0.15,"Maturing","Mature"))</f>
        <v>Immature — too fresh</v>
      </c>
    </row>
    <row r="32" customFormat="false" ht="15" hidden="false" customHeight="false" outlineLevel="0" collapsed="false">
      <c r="A32" s="30" t="n">
        <v>46323</v>
      </c>
      <c r="B32" s="15" t="n">
        <v>127</v>
      </c>
      <c r="C32" s="15" t="n">
        <v>15</v>
      </c>
      <c r="D32" s="16" t="n">
        <f aca="false">C32/B32</f>
        <v>0.118110236220472</v>
      </c>
      <c r="E32" s="15" t="n">
        <v>100</v>
      </c>
      <c r="F32" s="16" t="n">
        <f aca="false">E32/B32</f>
        <v>0.78740157480315</v>
      </c>
      <c r="G32" s="15" t="n">
        <v>0</v>
      </c>
      <c r="H32" s="16" t="n">
        <f aca="false">G32/B32</f>
        <v>0</v>
      </c>
      <c r="I32" s="31" t="n">
        <f aca="false">AVERAGE(B26:B32)</f>
        <v>96.1428571428571</v>
      </c>
      <c r="J32" s="16" t="n">
        <f aca="false">SUM(C26:C32)/SUM(B26:B32)</f>
        <v>0.175334323922734</v>
      </c>
      <c r="K32" s="13" t="str">
        <f aca="false">IF(F32&gt;0.3,"Immature — too fresh",IF(F32&gt;0.15,"Maturing","Mature"))</f>
        <v>Immature — too fresh</v>
      </c>
    </row>
    <row r="35" customFormat="false" ht="15" hidden="false" customHeight="false" outlineLevel="0" collapsed="false">
      <c r="A35" s="26" t="s">
        <v>167</v>
      </c>
    </row>
    <row r="36" customFormat="false" ht="42" hidden="false" customHeight="true" outlineLevel="0" collapsed="false">
      <c r="A36" s="12" t="s">
        <v>168</v>
      </c>
      <c r="B36" s="12" t="s">
        <v>127</v>
      </c>
      <c r="C36" s="12" t="s">
        <v>47</v>
      </c>
      <c r="D36" s="12" t="s">
        <v>6</v>
      </c>
      <c r="E36" s="12" t="s">
        <v>133</v>
      </c>
      <c r="F36" s="12" t="s">
        <v>134</v>
      </c>
    </row>
    <row r="37" customFormat="false" ht="15" hidden="false" customHeight="false" outlineLevel="0" collapsed="false">
      <c r="A37" s="13" t="s">
        <v>169</v>
      </c>
      <c r="B37" s="15" t="n">
        <v>191</v>
      </c>
      <c r="C37" s="15" t="n">
        <v>69</v>
      </c>
      <c r="D37" s="16" t="n">
        <f aca="false">C37/B37</f>
        <v>0.361256544502618</v>
      </c>
      <c r="E37" s="16" t="n">
        <v>0.277486910994764</v>
      </c>
      <c r="F37" s="16" t="n">
        <v>0.12565445026178</v>
      </c>
    </row>
    <row r="38" customFormat="false" ht="15" hidden="false" customHeight="false" outlineLevel="0" collapsed="false">
      <c r="A38" s="13" t="s">
        <v>170</v>
      </c>
      <c r="B38" s="15" t="n">
        <v>181</v>
      </c>
      <c r="C38" s="15" t="n">
        <v>60</v>
      </c>
      <c r="D38" s="16" t="n">
        <f aca="false">C38/B38</f>
        <v>0.331491712707182</v>
      </c>
      <c r="E38" s="16" t="n">
        <v>0.281767955801105</v>
      </c>
      <c r="F38" s="16" t="n">
        <v>0.0773480662983425</v>
      </c>
    </row>
    <row r="39" customFormat="false" ht="15" hidden="false" customHeight="false" outlineLevel="0" collapsed="false">
      <c r="A39" s="13" t="s">
        <v>171</v>
      </c>
      <c r="B39" s="15" t="n">
        <v>376</v>
      </c>
      <c r="C39" s="15" t="n">
        <v>104</v>
      </c>
      <c r="D39" s="16" t="n">
        <f aca="false">C39/B39</f>
        <v>0.276595744680851</v>
      </c>
      <c r="E39" s="16" t="n">
        <v>0.430851063829787</v>
      </c>
      <c r="F39" s="16" t="n">
        <v>0.103723404255319</v>
      </c>
    </row>
    <row r="40" customFormat="false" ht="15" hidden="false" customHeight="false" outlineLevel="0" collapsed="false">
      <c r="A40" s="13" t="s">
        <v>172</v>
      </c>
      <c r="B40" s="15" t="n">
        <v>679</v>
      </c>
      <c r="C40" s="15" t="n">
        <v>150</v>
      </c>
      <c r="D40" s="16" t="n">
        <f aca="false">C40/B40</f>
        <v>0.220913107511046</v>
      </c>
      <c r="E40" s="16" t="n">
        <v>0.528718703976436</v>
      </c>
      <c r="F40" s="16" t="n">
        <v>0.0883652430044183</v>
      </c>
    </row>
    <row r="43" customFormat="false" ht="15" hidden="false" customHeight="false" outlineLevel="0" collapsed="false">
      <c r="A43" s="26" t="s">
        <v>173</v>
      </c>
    </row>
    <row r="44" customFormat="false" ht="42" hidden="false" customHeight="true" outlineLevel="0" collapsed="false">
      <c r="A44" s="12" t="s">
        <v>80</v>
      </c>
      <c r="B44" s="12" t="s">
        <v>174</v>
      </c>
      <c r="C44" s="12" t="s">
        <v>175</v>
      </c>
      <c r="D44" s="12" t="s">
        <v>176</v>
      </c>
      <c r="E44" s="12" t="s">
        <v>177</v>
      </c>
      <c r="F44" s="12" t="s">
        <v>178</v>
      </c>
      <c r="G44" s="12" t="s">
        <v>179</v>
      </c>
    </row>
    <row r="45" customFormat="false" ht="15" hidden="false" customHeight="false" outlineLevel="0" collapsed="false">
      <c r="A45" s="13" t="s">
        <v>82</v>
      </c>
      <c r="B45" s="15" t="n">
        <v>0</v>
      </c>
      <c r="C45" s="16"/>
      <c r="D45" s="16"/>
      <c r="E45" s="15" t="n">
        <v>665</v>
      </c>
      <c r="F45" s="16" t="n">
        <v>0.21203007518797</v>
      </c>
      <c r="G45" s="16" t="n">
        <v>0.514285714285714</v>
      </c>
    </row>
    <row r="46" customFormat="false" ht="15" hidden="false" customHeight="false" outlineLevel="0" collapsed="false">
      <c r="A46" s="13" t="s">
        <v>84</v>
      </c>
      <c r="B46" s="15" t="n">
        <v>183</v>
      </c>
      <c r="C46" s="16" t="n">
        <v>0.284153005464481</v>
      </c>
      <c r="D46" s="16" t="n">
        <v>0.240437158469945</v>
      </c>
      <c r="E46" s="15" t="n">
        <v>138</v>
      </c>
      <c r="F46" s="16" t="n">
        <v>0.159420289855073</v>
      </c>
      <c r="G46" s="16" t="n">
        <v>0.463768115942029</v>
      </c>
    </row>
    <row r="47" customFormat="false" ht="15" hidden="false" customHeight="false" outlineLevel="0" collapsed="false">
      <c r="A47" s="13" t="s">
        <v>83</v>
      </c>
      <c r="B47" s="15" t="n">
        <v>129</v>
      </c>
      <c r="C47" s="16" t="n">
        <v>0.418604651162791</v>
      </c>
      <c r="D47" s="16" t="n">
        <v>0.34108527131783</v>
      </c>
      <c r="E47" s="15" t="n">
        <v>171</v>
      </c>
      <c r="F47" s="16" t="n">
        <v>0.339181286549708</v>
      </c>
      <c r="G47" s="16" t="n">
        <v>0.467836257309942</v>
      </c>
    </row>
    <row r="48" customFormat="false" ht="15" hidden="false" customHeight="false" outlineLevel="0" collapsed="false">
      <c r="A48" s="13" t="s">
        <v>85</v>
      </c>
      <c r="B48" s="15" t="n">
        <v>53</v>
      </c>
      <c r="C48" s="16" t="n">
        <v>0.320754716981132</v>
      </c>
      <c r="D48" s="16" t="n">
        <v>0.283018867924528</v>
      </c>
      <c r="E48" s="15" t="n">
        <v>71</v>
      </c>
      <c r="F48" s="16" t="n">
        <v>0.366197183098592</v>
      </c>
      <c r="G48" s="16" t="n">
        <v>0.450704225352113</v>
      </c>
    </row>
    <row r="49" customFormat="false" ht="15" hidden="false" customHeight="false" outlineLevel="0" collapsed="false">
      <c r="A49" s="13" t="s">
        <v>86</v>
      </c>
      <c r="B49" s="15" t="n">
        <v>7</v>
      </c>
      <c r="C49" s="16" t="n">
        <v>0.857142857142857</v>
      </c>
      <c r="D49" s="16" t="n">
        <v>0.142857142857143</v>
      </c>
      <c r="E49" s="15" t="n">
        <v>6</v>
      </c>
      <c r="F49" s="16" t="n">
        <v>0.833333333333333</v>
      </c>
      <c r="G49" s="16" t="n">
        <v>0.166666666666667</v>
      </c>
    </row>
    <row r="50" customFormat="false" ht="15" hidden="false" customHeight="false" outlineLevel="0" collapsed="false">
      <c r="A50" s="13" t="s">
        <v>87</v>
      </c>
      <c r="B50" s="15" t="n">
        <v>0</v>
      </c>
      <c r="C50" s="16"/>
      <c r="D50" s="16"/>
      <c r="E50" s="15" t="n">
        <v>4</v>
      </c>
      <c r="F50" s="16" t="n">
        <v>0.5</v>
      </c>
      <c r="G50" s="16" t="n">
        <v>0.5</v>
      </c>
    </row>
    <row r="51" customFormat="false" ht="15" hidden="false" customHeight="false" outlineLevel="0" collapsed="false">
      <c r="A51" s="19" t="s">
        <v>180</v>
      </c>
      <c r="B51" s="22" t="n">
        <v>372</v>
      </c>
      <c r="C51" s="23" t="n">
        <v>0.346774193548387</v>
      </c>
      <c r="D51" s="23" t="n">
        <v>0.279569892473118</v>
      </c>
      <c r="E51" s="22" t="n">
        <v>1055</v>
      </c>
      <c r="F51" s="23" t="n">
        <v>0.240758293838863</v>
      </c>
      <c r="G51" s="23" t="n">
        <v>0.493838862559242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22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182</v>
      </c>
    </row>
    <row r="4" customFormat="false" ht="42" hidden="false" customHeight="true" outlineLevel="0" collapsed="false">
      <c r="A4" s="12" t="s">
        <v>41</v>
      </c>
      <c r="B4" s="12" t="s">
        <v>183</v>
      </c>
      <c r="C4" s="12" t="s">
        <v>184</v>
      </c>
      <c r="D4" s="12" t="s">
        <v>185</v>
      </c>
      <c r="E4" s="12" t="s">
        <v>186</v>
      </c>
      <c r="F4" s="12" t="s">
        <v>187</v>
      </c>
    </row>
    <row r="5" customFormat="false" ht="15" hidden="false" customHeight="false" outlineLevel="0" collapsed="false">
      <c r="A5" s="13" t="s">
        <v>60</v>
      </c>
      <c r="B5" s="14" t="n">
        <v>45288.51</v>
      </c>
      <c r="C5" s="14" t="n">
        <v>672858.87</v>
      </c>
      <c r="D5" s="14" t="n">
        <f aca="false">C5/28</f>
        <v>24030.6739285714</v>
      </c>
      <c r="E5" s="16" t="n">
        <f aca="false">IFERROR(D5/B5,"n/a")</f>
        <v>0.530613039125629</v>
      </c>
      <c r="F5" s="13" t="str">
        <f aca="false">IF(ISNUMBER(E5),IF(E5&lt;0.75,"Under-delivering vs current budget — budget raised recently, or limited by audience/bid",IF(E5&gt;1.1,"Over budget average (budget lowered, or CBO shifted)","Spending ≈ budget")),"n/a")</f>
        <v>Under-delivering vs current budget — budget raised recently, or limited by audience/bid</v>
      </c>
    </row>
    <row r="6" customFormat="false" ht="15" hidden="false" customHeight="false" outlineLevel="0" collapsed="false">
      <c r="A6" s="13" t="s">
        <v>62</v>
      </c>
      <c r="B6" s="14" t="n">
        <v>11404.8</v>
      </c>
      <c r="C6" s="14" t="n">
        <v>338747.09</v>
      </c>
      <c r="D6" s="14" t="n">
        <f aca="false">C6/28</f>
        <v>12098.1103571429</v>
      </c>
      <c r="E6" s="16" t="n">
        <f aca="false">IFERROR(D6/B6,"n/a")</f>
        <v>1.06079110174162</v>
      </c>
      <c r="F6" s="13" t="str">
        <f aca="false">IF(ISNUMBER(E6),IF(E6&lt;0.75,"Under-delivering vs current budget — budget raised recently, or limited by audience/bid",IF(E6&gt;1.1,"Over budget average (budget lowered, or CBO shifted)","Spending ≈ budget")),"n/a")</f>
        <v>Spending ≈ budget</v>
      </c>
    </row>
    <row r="7" customFormat="false" ht="15" hidden="false" customHeight="false" outlineLevel="0" collapsed="false">
      <c r="A7" s="13" t="s">
        <v>63</v>
      </c>
      <c r="B7" s="14" t="n">
        <v>6820.8</v>
      </c>
      <c r="C7" s="14" t="n">
        <v>194123.34</v>
      </c>
      <c r="D7" s="14" t="n">
        <f aca="false">C7/28</f>
        <v>6932.97642857143</v>
      </c>
      <c r="E7" s="16" t="n">
        <f aca="false">IFERROR(D7/B7,"n/a")</f>
        <v>1.01644622750578</v>
      </c>
      <c r="F7" s="13" t="str">
        <f aca="false">IF(ISNUMBER(E7),IF(E7&lt;0.75,"Under-delivering vs current budget — budget raised recently, or limited by audience/bid",IF(E7&gt;1.1,"Over budget average (budget lowered, or CBO shifted)","Spending ≈ budget")),"n/a")</f>
        <v>Spending ≈ budget</v>
      </c>
    </row>
    <row r="8" customFormat="false" ht="15" hidden="false" customHeight="false" outlineLevel="0" collapsed="false">
      <c r="A8" s="13" t="s">
        <v>64</v>
      </c>
      <c r="B8" s="13" t="s">
        <v>188</v>
      </c>
      <c r="C8" s="14" t="n">
        <v>7213.35</v>
      </c>
      <c r="D8" s="14" t="n">
        <f aca="false">C8/28</f>
        <v>257.619642857143</v>
      </c>
      <c r="E8" s="16" t="str">
        <f aca="false">IFERROR(D8/B8,"n/a")</f>
        <v>n/a</v>
      </c>
      <c r="F8" s="13" t="str">
        <f aca="false">IF(ISNUMBER(E8),IF(E8&lt;0.75,"Under-delivering vs current budget — budget raised recently, or limited by audience/bid",IF(E8&gt;1.1,"Over budget average (budget lowered, or CBO shifted)","Spending ≈ budget")),"n/a")</f>
        <v>n/a</v>
      </c>
    </row>
    <row r="9" customFormat="false" ht="15" hidden="false" customHeight="false" outlineLevel="0" collapsed="false">
      <c r="A9" s="13" t="s">
        <v>65</v>
      </c>
      <c r="B9" s="14" t="n">
        <v>100</v>
      </c>
      <c r="C9" s="14" t="n">
        <v>2821.62</v>
      </c>
      <c r="D9" s="14" t="n">
        <f aca="false">C9/28</f>
        <v>100.772142857143</v>
      </c>
      <c r="E9" s="16" t="n">
        <f aca="false">IFERROR(D9/B9,"n/a")</f>
        <v>1.00772142857143</v>
      </c>
      <c r="F9" s="13" t="str">
        <f aca="false">IF(ISNUMBER(E9),IF(E9&lt;0.75,"Under-delivering vs current budget — budget raised recently, or limited by audience/bid",IF(E9&gt;1.1,"Over budget average (budget lowered, or CBO shifted)","Spending ≈ budget")),"n/a")</f>
        <v>Spending ≈ budget</v>
      </c>
    </row>
    <row r="12" customFormat="false" ht="15" hidden="false" customHeight="false" outlineLevel="0" collapsed="false">
      <c r="A12" s="26" t="s">
        <v>189</v>
      </c>
    </row>
    <row r="13" customFormat="false" ht="15" hidden="false" customHeight="false" outlineLevel="0" collapsed="false">
      <c r="A13" s="13" t="s">
        <v>190</v>
      </c>
      <c r="B13" s="32" t="n">
        <v>101000</v>
      </c>
    </row>
    <row r="14" customFormat="false" ht="15" hidden="false" customHeight="false" outlineLevel="0" collapsed="false">
      <c r="A14" s="13" t="s">
        <v>191</v>
      </c>
      <c r="B14" s="33" t="n">
        <f aca="false">Funnel_Campaign!H5/Funnel_Campaign!C5</f>
        <v>0.000361145569798315</v>
      </c>
    </row>
    <row r="15" customFormat="false" ht="15" hidden="false" customHeight="false" outlineLevel="0" collapsed="false">
      <c r="A15" s="13" t="s">
        <v>192</v>
      </c>
      <c r="B15" s="33" t="n">
        <f aca="false">Funnel_Campaign!I5/Funnel_Campaign!C5</f>
        <v>4.60720685750936E-005</v>
      </c>
    </row>
    <row r="16" customFormat="false" ht="15" hidden="false" customHeight="false" outlineLevel="0" collapsed="false">
      <c r="A16" s="13" t="s">
        <v>193</v>
      </c>
      <c r="B16" s="33" t="n">
        <f aca="false">Funnel_Campaign!H6/Funnel_Campaign!C6</f>
        <v>0.000371958914835254</v>
      </c>
    </row>
    <row r="17" customFormat="false" ht="15" hidden="false" customHeight="false" outlineLevel="0" collapsed="false">
      <c r="A17" s="13" t="s">
        <v>194</v>
      </c>
      <c r="B17" s="33" t="n">
        <f aca="false">Funnel_Campaign!I6/Funnel_Campaign!C6</f>
        <v>0.00012103425006544</v>
      </c>
    </row>
    <row r="19" customFormat="false" ht="42" hidden="false" customHeight="true" outlineLevel="0" collapsed="false">
      <c r="A19" s="12" t="s">
        <v>195</v>
      </c>
      <c r="B19" s="12" t="s">
        <v>196</v>
      </c>
      <c r="C19" s="12" t="s">
        <v>197</v>
      </c>
      <c r="D19" s="12" t="s">
        <v>198</v>
      </c>
      <c r="E19" s="12" t="s">
        <v>199</v>
      </c>
      <c r="F19" s="12" t="s">
        <v>200</v>
      </c>
    </row>
    <row r="20" customFormat="false" ht="15" hidden="false" customHeight="false" outlineLevel="0" collapsed="false">
      <c r="A20" s="34" t="n">
        <v>0</v>
      </c>
      <c r="B20" s="31" t="n">
        <f aca="false">$B$13*$B$14</f>
        <v>36.4757025496298</v>
      </c>
      <c r="C20" s="31" t="n">
        <f aca="false">$B$13*$B$15</f>
        <v>4.65327892608446</v>
      </c>
      <c r="D20" s="31" t="n">
        <f aca="false">$B$13*$B$16*(1-A20)</f>
        <v>37.5678503983606</v>
      </c>
      <c r="E20" s="31" t="n">
        <f aca="false">$B$13*$B$17*(1-A20)</f>
        <v>12.2244592566094</v>
      </c>
      <c r="F20" s="13" t="str">
        <f aca="false">TEXT(D20-B20,"+0.0;-0.0")&amp;" qualified  |  "&amp;TEXT(E20-C20,"+0.0;-0.0")&amp;" meetings"</f>
        <v>+1.1 qualified  |  +7.6 meetings</v>
      </c>
    </row>
    <row r="21" customFormat="false" ht="15" hidden="false" customHeight="false" outlineLevel="0" collapsed="false">
      <c r="A21" s="34" t="n">
        <v>0.25</v>
      </c>
      <c r="B21" s="31" t="n">
        <f aca="false">$B$13*$B$14</f>
        <v>36.4757025496298</v>
      </c>
      <c r="C21" s="31" t="n">
        <f aca="false">$B$13*$B$15</f>
        <v>4.65327892608446</v>
      </c>
      <c r="D21" s="31" t="n">
        <f aca="false">$B$13*$B$16*(1-A21)</f>
        <v>28.1758877987705</v>
      </c>
      <c r="E21" s="31" t="n">
        <f aca="false">$B$13*$B$17*(1-A21)</f>
        <v>9.16834444245705</v>
      </c>
      <c r="F21" s="13" t="str">
        <f aca="false">TEXT(D21-B21,"+0.0;-0.0")&amp;" qualified  |  "&amp;TEXT(E21-C21,"+0.0;-0.0")&amp;" meetings"</f>
        <v>-8.3 qualified  |  +4.5 meetings</v>
      </c>
    </row>
    <row r="22" customFormat="false" ht="15" hidden="false" customHeight="false" outlineLevel="0" collapsed="false">
      <c r="A22" s="34" t="n">
        <v>0.5</v>
      </c>
      <c r="B22" s="31" t="n">
        <f aca="false">$B$13*$B$14</f>
        <v>36.4757025496298</v>
      </c>
      <c r="C22" s="31" t="n">
        <f aca="false">$B$13*$B$15</f>
        <v>4.65327892608446</v>
      </c>
      <c r="D22" s="31" t="n">
        <f aca="false">$B$13*$B$16*(1-A22)</f>
        <v>18.7839251991803</v>
      </c>
      <c r="E22" s="31" t="n">
        <f aca="false">$B$13*$B$17*(1-A22)</f>
        <v>6.1122296283047</v>
      </c>
      <c r="F22" s="13" t="str">
        <f aca="false">TEXT(D22-B22,"+0.0;-0.0")&amp;" qualified  |  "&amp;TEXT(E22-C22,"+0.0;-0.0")&amp;" meetings"</f>
        <v>-17.7 qualified  |  +1.5 meetings</v>
      </c>
    </row>
    <row r="23" customFormat="false" ht="15" hidden="false" customHeight="false" outlineLevel="0" collapsed="false">
      <c r="A23" s="34" t="n">
        <v>0.75</v>
      </c>
      <c r="B23" s="31" t="n">
        <f aca="false">$B$13*$B$14</f>
        <v>36.4757025496298</v>
      </c>
      <c r="C23" s="31" t="n">
        <f aca="false">$B$13*$B$15</f>
        <v>4.65327892608446</v>
      </c>
      <c r="D23" s="31" t="n">
        <f aca="false">$B$13*$B$16*(1-A23)</f>
        <v>9.39196259959015</v>
      </c>
      <c r="E23" s="31" t="n">
        <f aca="false">$B$13*$B$17*(1-A23)</f>
        <v>3.05611481415235</v>
      </c>
      <c r="F23" s="13" t="str">
        <f aca="false">TEXT(D23-B23,"+0.0;-0.0")&amp;" qualified  |  "&amp;TEXT(E23-C23,"+0.0;-0.0")&amp;" meetings"</f>
        <v>-27.1 qualified  |  -1.6 meetings</v>
      </c>
    </row>
    <row r="25" customFormat="false" ht="15" hidden="false" customHeight="false" outlineLevel="0" collapsed="false">
      <c r="A25" s="13" t="s">
        <v>201</v>
      </c>
      <c r="B25" s="16" t="n">
        <f aca="false">1-B15/B17</f>
        <v>0.619346849753819</v>
      </c>
    </row>
    <row r="26" customFormat="false" ht="15" hidden="false" customHeight="false" outlineLevel="0" collapsed="false">
      <c r="A26" s="13" t="s">
        <v>202</v>
      </c>
      <c r="B26" s="16" t="n">
        <f aca="false">1-B14/B16</f>
        <v>0.0290713425748338</v>
      </c>
    </row>
    <row r="28" customFormat="false" ht="15" hidden="false" customHeight="false" outlineLevel="0" collapsed="false">
      <c r="A28" s="35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60"/>
    <col collapsed="false" customWidth="true" hidden="false" outlineLevel="0" max="4" min="4" style="0" width="62"/>
    <col collapsed="false" customWidth="true" hidden="false" outlineLevel="0" max="5" min="5" style="0" width="4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42" hidden="false" customHeight="true" outlineLevel="0" collapsed="false">
      <c r="A4" s="12" t="s">
        <v>206</v>
      </c>
      <c r="B4" s="12" t="s">
        <v>207</v>
      </c>
      <c r="C4" s="12" t="s">
        <v>208</v>
      </c>
      <c r="D4" s="12" t="s">
        <v>209</v>
      </c>
      <c r="E4" s="12" t="s">
        <v>210</v>
      </c>
      <c r="F4" s="12" t="s">
        <v>211</v>
      </c>
    </row>
    <row r="5" customFormat="false" ht="48" hidden="false" customHeight="true" outlineLevel="0" collapsed="false">
      <c r="A5" s="36" t="n">
        <v>1</v>
      </c>
      <c r="B5" s="37" t="s">
        <v>212</v>
      </c>
      <c r="C5" s="36" t="s">
        <v>33</v>
      </c>
      <c r="D5" s="36" t="s">
        <v>213</v>
      </c>
      <c r="E5" s="36" t="s">
        <v>214</v>
      </c>
      <c r="F5" s="36" t="s">
        <v>215</v>
      </c>
    </row>
    <row r="6" customFormat="false" ht="48" hidden="false" customHeight="true" outlineLevel="0" collapsed="false">
      <c r="A6" s="36" t="n">
        <v>2</v>
      </c>
      <c r="B6" s="37" t="s">
        <v>212</v>
      </c>
      <c r="C6" s="36" t="s">
        <v>34</v>
      </c>
      <c r="D6" s="36" t="s">
        <v>216</v>
      </c>
      <c r="E6" s="36" t="s">
        <v>217</v>
      </c>
      <c r="F6" s="36" t="s">
        <v>218</v>
      </c>
    </row>
    <row r="7" customFormat="false" ht="48" hidden="false" customHeight="true" outlineLevel="0" collapsed="false">
      <c r="A7" s="36" t="n">
        <v>3</v>
      </c>
      <c r="B7" s="37" t="s">
        <v>212</v>
      </c>
      <c r="C7" s="36" t="s">
        <v>35</v>
      </c>
      <c r="D7" s="36" t="s">
        <v>219</v>
      </c>
      <c r="E7" s="36" t="s">
        <v>217</v>
      </c>
      <c r="F7" s="36" t="s">
        <v>218</v>
      </c>
    </row>
    <row r="8" customFormat="false" ht="48" hidden="false" customHeight="true" outlineLevel="0" collapsed="false">
      <c r="A8" s="36" t="n">
        <v>4</v>
      </c>
      <c r="B8" s="37" t="s">
        <v>212</v>
      </c>
      <c r="C8" s="36" t="s">
        <v>36</v>
      </c>
      <c r="D8" s="36" t="s">
        <v>220</v>
      </c>
      <c r="E8" s="36" t="s">
        <v>217</v>
      </c>
      <c r="F8" s="36" t="s">
        <v>218</v>
      </c>
    </row>
    <row r="9" customFormat="false" ht="48" hidden="false" customHeight="true" outlineLevel="0" collapsed="false">
      <c r="A9" s="36" t="n">
        <v>5</v>
      </c>
      <c r="B9" s="37" t="s">
        <v>212</v>
      </c>
      <c r="C9" s="36" t="s">
        <v>37</v>
      </c>
      <c r="D9" s="36" t="s">
        <v>221</v>
      </c>
      <c r="E9" s="36" t="s">
        <v>222</v>
      </c>
      <c r="F9" s="36" t="s">
        <v>223</v>
      </c>
    </row>
    <row r="10" customFormat="false" ht="48" hidden="false" customHeight="true" outlineLevel="0" collapsed="false">
      <c r="A10" s="36" t="n">
        <v>6</v>
      </c>
      <c r="B10" s="37" t="s">
        <v>224</v>
      </c>
      <c r="C10" s="36" t="s">
        <v>38</v>
      </c>
      <c r="D10" s="36" t="s">
        <v>225</v>
      </c>
      <c r="E10" s="36" t="s">
        <v>226</v>
      </c>
      <c r="F10" s="36" t="s">
        <v>223</v>
      </c>
    </row>
    <row r="11" customFormat="false" ht="48" hidden="false" customHeight="true" outlineLevel="0" collapsed="false">
      <c r="A11" s="36" t="n">
        <v>7</v>
      </c>
      <c r="B11" s="37" t="s">
        <v>224</v>
      </c>
      <c r="C11" s="36" t="s">
        <v>227</v>
      </c>
      <c r="D11" s="36" t="s">
        <v>228</v>
      </c>
      <c r="E11" s="36" t="s">
        <v>229</v>
      </c>
      <c r="F11" s="36" t="s">
        <v>230</v>
      </c>
    </row>
    <row r="12" customFormat="false" ht="48" hidden="false" customHeight="true" outlineLevel="0" collapsed="false">
      <c r="A12" s="36" t="n">
        <v>8</v>
      </c>
      <c r="B12" s="37" t="s">
        <v>224</v>
      </c>
      <c r="C12" s="36" t="s">
        <v>231</v>
      </c>
      <c r="D12" s="36" t="s">
        <v>232</v>
      </c>
      <c r="E12" s="36" t="s">
        <v>233</v>
      </c>
      <c r="F12" s="36" t="s">
        <v>234</v>
      </c>
    </row>
    <row r="13" customFormat="false" ht="48" hidden="false" customHeight="true" outlineLevel="0" collapsed="false">
      <c r="A13" s="36" t="n">
        <v>9</v>
      </c>
      <c r="B13" s="37" t="s">
        <v>235</v>
      </c>
      <c r="C13" s="36" t="s">
        <v>236</v>
      </c>
      <c r="D13" s="36" t="s">
        <v>237</v>
      </c>
      <c r="E13" s="36" t="s">
        <v>238</v>
      </c>
      <c r="F13" s="36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6" min="5" style="0" width="16"/>
    <col collapsed="false" customWidth="true" hidden="false" outlineLevel="0" max="7" min="7" style="0" width="15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239</v>
      </c>
    </row>
    <row r="2" customFormat="false" ht="15" hidden="false" customHeight="false" outlineLevel="0" collapsed="false">
      <c r="A2" s="2" t="s">
        <v>240</v>
      </c>
    </row>
    <row r="4" customFormat="false" ht="42" hidden="false" customHeight="true" outlineLevel="0" collapsed="false">
      <c r="A4" s="12" t="s">
        <v>241</v>
      </c>
      <c r="B4" s="12" t="s">
        <v>242</v>
      </c>
      <c r="C4" s="12" t="s">
        <v>243</v>
      </c>
      <c r="D4" s="12" t="s">
        <v>244</v>
      </c>
      <c r="E4" s="12" t="s">
        <v>245</v>
      </c>
      <c r="F4" s="12" t="s">
        <v>246</v>
      </c>
      <c r="G4" s="12" t="s">
        <v>247</v>
      </c>
      <c r="H4" s="12" t="s">
        <v>248</v>
      </c>
    </row>
    <row r="5" customFormat="false" ht="15" hidden="false" customHeight="false" outlineLevel="0" collapsed="false">
      <c r="A5" s="29" t="s">
        <v>249</v>
      </c>
      <c r="B5" s="29" t="s">
        <v>250</v>
      </c>
      <c r="C5" s="36" t="s">
        <v>251</v>
      </c>
      <c r="D5" s="13" t="s">
        <v>252</v>
      </c>
      <c r="E5" s="14"/>
      <c r="F5" s="32"/>
      <c r="G5" s="13" t="s">
        <v>253</v>
      </c>
      <c r="H5" s="13" t="str">
        <f aca="false">IF(OR(E5="",F5=""),"Need data/target",IF(E5&lt;=F5,"On target","Off target"))</f>
        <v>Need data/target</v>
      </c>
    </row>
    <row r="6" customFormat="false" ht="15" hidden="false" customHeight="false" outlineLevel="0" collapsed="false">
      <c r="A6" s="29" t="s">
        <v>249</v>
      </c>
      <c r="B6" s="29" t="s">
        <v>254</v>
      </c>
      <c r="C6" s="36" t="s">
        <v>255</v>
      </c>
      <c r="D6" s="13" t="s">
        <v>256</v>
      </c>
      <c r="E6" s="18"/>
      <c r="F6" s="38"/>
      <c r="G6" s="13" t="s">
        <v>253</v>
      </c>
      <c r="H6" s="13" t="str">
        <f aca="false">IF(OR(E6="",F6=""),"Need data/target",IF(E6&gt;=F6,"On target","Off target"))</f>
        <v>Need data/target</v>
      </c>
    </row>
    <row r="7" customFormat="false" ht="15" hidden="false" customHeight="false" outlineLevel="0" collapsed="false">
      <c r="A7" s="29" t="s">
        <v>249</v>
      </c>
      <c r="B7" s="29" t="s">
        <v>10</v>
      </c>
      <c r="C7" s="36" t="s">
        <v>257</v>
      </c>
      <c r="D7" s="13" t="s">
        <v>258</v>
      </c>
      <c r="E7" s="14" t="n">
        <f aca="false">Funnel_Campaign!O12</f>
        <v>13214.8290217391</v>
      </c>
      <c r="F7" s="32" t="n">
        <v>12000</v>
      </c>
      <c r="G7" s="13" t="s">
        <v>259</v>
      </c>
      <c r="H7" s="13" t="str">
        <f aca="false">IF(OR(E7="",F7=""),"Need data/target",IF(E7&lt;=F7,"On target","Off target"))</f>
        <v>Off target</v>
      </c>
    </row>
    <row r="8" customFormat="false" ht="15" hidden="false" customHeight="false" outlineLevel="0" collapsed="false">
      <c r="A8" s="29" t="s">
        <v>260</v>
      </c>
      <c r="B8" s="29" t="s">
        <v>7</v>
      </c>
      <c r="C8" s="36" t="s">
        <v>261</v>
      </c>
      <c r="D8" s="13" t="s">
        <v>258</v>
      </c>
      <c r="E8" s="14" t="n">
        <f aca="false">Funnel_Campaign!L12</f>
        <v>2915.50184652278</v>
      </c>
      <c r="F8" s="32" t="n">
        <v>2500</v>
      </c>
      <c r="G8" s="13" t="s">
        <v>259</v>
      </c>
      <c r="H8" s="13" t="str">
        <f aca="false">IF(OR(E8="",F8=""),"Need data/target",IF(E8&lt;=F8,"On target","Off target"))</f>
        <v>Off target</v>
      </c>
    </row>
    <row r="9" customFormat="false" ht="15" hidden="false" customHeight="false" outlineLevel="0" collapsed="false">
      <c r="A9" s="29" t="s">
        <v>260</v>
      </c>
      <c r="B9" s="29" t="s">
        <v>262</v>
      </c>
      <c r="C9" s="36" t="s">
        <v>263</v>
      </c>
      <c r="D9" s="13" t="s">
        <v>264</v>
      </c>
      <c r="E9" s="16" t="n">
        <v>0.268395234758234</v>
      </c>
      <c r="F9" s="34" t="n">
        <v>0.3</v>
      </c>
      <c r="G9" s="13" t="s">
        <v>259</v>
      </c>
      <c r="H9" s="13" t="str">
        <f aca="false">IF(OR(E9="",F9=""),"Need data/target",IF(E9&gt;=F9,"On target","Off target"))</f>
        <v>Off target</v>
      </c>
    </row>
    <row r="10" customFormat="false" ht="15" hidden="false" customHeight="false" outlineLevel="0" collapsed="false">
      <c r="A10" s="29" t="s">
        <v>260</v>
      </c>
      <c r="B10" s="29" t="s">
        <v>265</v>
      </c>
      <c r="C10" s="36" t="s">
        <v>266</v>
      </c>
      <c r="D10" s="13" t="s">
        <v>264</v>
      </c>
      <c r="E10" s="16" t="n">
        <f aca="false">Funnel_Campaign!N12</f>
        <v>0.220623501199041</v>
      </c>
      <c r="F10" s="34" t="n">
        <v>0.25</v>
      </c>
      <c r="G10" s="13" t="s">
        <v>253</v>
      </c>
      <c r="H10" s="13" t="str">
        <f aca="false">IF(OR(E10="",F10=""),"Need data/target",IF(E10&gt;=F10,"On target","Off target"))</f>
        <v>Off target</v>
      </c>
    </row>
    <row r="11" customFormat="false" ht="15" hidden="false" customHeight="false" outlineLevel="0" collapsed="false">
      <c r="A11" s="29" t="s">
        <v>260</v>
      </c>
      <c r="B11" s="29" t="s">
        <v>4</v>
      </c>
      <c r="C11" s="36" t="s">
        <v>267</v>
      </c>
      <c r="D11" s="13" t="s">
        <v>258</v>
      </c>
      <c r="E11" s="14" t="n">
        <f aca="false">Funnel_Campaign!J12</f>
        <v>718.112386296515</v>
      </c>
      <c r="F11" s="32" t="n">
        <v>700</v>
      </c>
      <c r="G11" s="13" t="s">
        <v>259</v>
      </c>
      <c r="H11" s="13" t="str">
        <f aca="false">IF(OR(E11="",F11=""),"Need data/target",IF(E11&lt;=F11,"On target","Off target"))</f>
        <v>Off target</v>
      </c>
    </row>
    <row r="12" customFormat="false" ht="15" hidden="false" customHeight="false" outlineLevel="0" collapsed="false">
      <c r="A12" s="29" t="s">
        <v>268</v>
      </c>
      <c r="B12" s="29" t="s">
        <v>269</v>
      </c>
      <c r="C12" s="36" t="s">
        <v>270</v>
      </c>
      <c r="D12" s="13" t="s">
        <v>264</v>
      </c>
      <c r="E12" s="16" t="n">
        <v>0.618428824571766</v>
      </c>
      <c r="F12" s="34" t="n">
        <v>0.7</v>
      </c>
      <c r="G12" s="13" t="s">
        <v>259</v>
      </c>
      <c r="H12" s="13" t="str">
        <f aca="false">IF(OR(E12="",F12=""),"Need data/target",IF(E12&gt;=F12,"On target","Off target"))</f>
        <v>Off target</v>
      </c>
    </row>
    <row r="13" customFormat="false" ht="15" hidden="false" customHeight="false" outlineLevel="0" collapsed="false">
      <c r="A13" s="29" t="s">
        <v>268</v>
      </c>
      <c r="B13" s="29" t="s">
        <v>271</v>
      </c>
      <c r="C13" s="36" t="s">
        <v>272</v>
      </c>
      <c r="D13" s="13" t="s">
        <v>264</v>
      </c>
      <c r="E13" s="16" t="n">
        <v>0.0826934435912581</v>
      </c>
      <c r="F13" s="34" t="n">
        <v>0.05</v>
      </c>
      <c r="G13" s="13" t="s">
        <v>259</v>
      </c>
      <c r="H13" s="13" t="str">
        <f aca="false">IF(OR(E13="",F13=""),"Need data/target",IF(E13&lt;=F13,"On target","Off target"))</f>
        <v>Off target</v>
      </c>
    </row>
    <row r="14" customFormat="false" ht="15" hidden="false" customHeight="false" outlineLevel="0" collapsed="false">
      <c r="A14" s="29" t="s">
        <v>268</v>
      </c>
      <c r="B14" s="29" t="s">
        <v>273</v>
      </c>
      <c r="C14" s="36" t="s">
        <v>274</v>
      </c>
      <c r="D14" s="13" t="s">
        <v>275</v>
      </c>
      <c r="E14" s="39"/>
      <c r="F14" s="40" t="n">
        <v>15</v>
      </c>
      <c r="G14" s="13" t="s">
        <v>259</v>
      </c>
      <c r="H14" s="13" t="str">
        <f aca="false">IF(OR(E14="",F14=""),"Need data/target",IF(E14&lt;=F14,"On target","Off target"))</f>
        <v>Need data/target</v>
      </c>
    </row>
    <row r="15" customFormat="false" ht="15" hidden="false" customHeight="false" outlineLevel="0" collapsed="false">
      <c r="A15" s="29" t="s">
        <v>268</v>
      </c>
      <c r="B15" s="29" t="s">
        <v>276</v>
      </c>
      <c r="C15" s="36" t="s">
        <v>277</v>
      </c>
      <c r="D15" s="13" t="s">
        <v>278</v>
      </c>
      <c r="E15" s="17" t="n">
        <f aca="false">Funnel_Campaign!P12</f>
        <v>0.00526787044417516</v>
      </c>
      <c r="F15" s="41" t="n">
        <v>0.007</v>
      </c>
      <c r="G15" s="13" t="s">
        <v>259</v>
      </c>
      <c r="H15" s="13" t="str">
        <f aca="false">IF(OR(E15="",F15=""),"Need data/target",IF(E15&gt;=F15,"On target","Off target"))</f>
        <v>Off target</v>
      </c>
    </row>
    <row r="16" customFormat="false" ht="15" hidden="false" customHeight="false" outlineLevel="0" collapsed="false">
      <c r="A16" s="29" t="s">
        <v>268</v>
      </c>
      <c r="B16" s="29" t="s">
        <v>279</v>
      </c>
      <c r="C16" s="36" t="s">
        <v>280</v>
      </c>
      <c r="D16" s="13" t="s">
        <v>258</v>
      </c>
      <c r="E16" s="16" t="n">
        <f aca="false">Funnel_Campaign!G12/Funnel_Campaign!F12</f>
        <v>0.0548428895367671</v>
      </c>
      <c r="F16" s="34" t="n">
        <v>0.06</v>
      </c>
      <c r="G16" s="13" t="s">
        <v>259</v>
      </c>
      <c r="H16" s="13" t="str">
        <f aca="false">IF(OR(E16="",F16=""),"Need data/target",IF(E16&gt;=F16,"On target","Off target"))</f>
        <v>Off target</v>
      </c>
    </row>
    <row r="17" customFormat="false" ht="15" hidden="false" customHeight="false" outlineLevel="0" collapsed="false">
      <c r="A17" s="29" t="s">
        <v>268</v>
      </c>
      <c r="B17" s="29" t="s">
        <v>281</v>
      </c>
      <c r="C17" s="36" t="s">
        <v>282</v>
      </c>
      <c r="D17" s="13" t="s">
        <v>283</v>
      </c>
      <c r="E17" s="39"/>
      <c r="F17" s="40"/>
      <c r="G17" s="13" t="s">
        <v>253</v>
      </c>
      <c r="H17" s="13" t="str">
        <f aca="false">IF(OR(E17="",F17=""),"Need data/target",IF(E17&lt;=F17,"On target","Off target"))</f>
        <v>Need data/target</v>
      </c>
    </row>
  </sheetData>
  <conditionalFormatting sqref="H5:H17">
    <cfRule type="expression" priority="2" aboveAverage="0" equalAverage="0" bottom="0" percent="0" rank="0" text="" dxfId="1">
      <formula>H5="Off target"</formula>
    </cfRule>
    <cfRule type="expression" priority="3" aboveAverage="0" equalAverage="0" bottom="0" percent="0" rank="0" text="" dxfId="0">
      <formula>H5="On target"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4" customFormat="false" ht="42" hidden="false" customHeight="true" outlineLevel="0" collapsed="false">
      <c r="A4" s="12" t="s">
        <v>286</v>
      </c>
      <c r="B4" s="12" t="s">
        <v>287</v>
      </c>
      <c r="C4" s="12" t="s">
        <v>288</v>
      </c>
    </row>
    <row r="5" customFormat="false" ht="15" hidden="false" customHeight="false" outlineLevel="0" collapsed="false">
      <c r="A5" s="13" t="s">
        <v>289</v>
      </c>
      <c r="B5" s="29" t="s">
        <v>290</v>
      </c>
      <c r="C5" s="13" t="s">
        <v>291</v>
      </c>
    </row>
    <row r="6" customFormat="false" ht="15" hidden="false" customHeight="false" outlineLevel="0" collapsed="false">
      <c r="A6" s="13" t="s">
        <v>292</v>
      </c>
      <c r="B6" s="29" t="s">
        <v>290</v>
      </c>
      <c r="C6" s="13" t="s">
        <v>293</v>
      </c>
    </row>
    <row r="7" customFormat="false" ht="15" hidden="false" customHeight="false" outlineLevel="0" collapsed="false">
      <c r="A7" s="13" t="s">
        <v>294</v>
      </c>
      <c r="B7" s="29" t="s">
        <v>290</v>
      </c>
      <c r="C7" s="13" t="s">
        <v>293</v>
      </c>
    </row>
    <row r="8" customFormat="false" ht="15" hidden="false" customHeight="false" outlineLevel="0" collapsed="false">
      <c r="A8" s="13" t="s">
        <v>295</v>
      </c>
      <c r="B8" s="29" t="s">
        <v>290</v>
      </c>
      <c r="C8" s="13" t="s">
        <v>296</v>
      </c>
    </row>
    <row r="9" customFormat="false" ht="15" hidden="false" customHeight="false" outlineLevel="0" collapsed="false">
      <c r="A9" s="13" t="s">
        <v>297</v>
      </c>
      <c r="B9" s="29" t="s">
        <v>290</v>
      </c>
      <c r="C9" s="13" t="s">
        <v>298</v>
      </c>
    </row>
    <row r="10" customFormat="false" ht="15" hidden="false" customHeight="false" outlineLevel="0" collapsed="false">
      <c r="A10" s="13" t="s">
        <v>299</v>
      </c>
      <c r="B10" s="29" t="s">
        <v>290</v>
      </c>
      <c r="C10" s="13" t="s">
        <v>300</v>
      </c>
    </row>
    <row r="11" customFormat="false" ht="15" hidden="false" customHeight="false" outlineLevel="0" collapsed="false">
      <c r="A11" s="13" t="s">
        <v>301</v>
      </c>
      <c r="B11" s="29" t="s">
        <v>290</v>
      </c>
      <c r="C11" s="13" t="s">
        <v>302</v>
      </c>
    </row>
  </sheetData>
  <conditionalFormatting sqref="B5:B11">
    <cfRule type="expression" priority="2" aboveAverage="0" equalAverage="0" bottom="0" percent="0" rank="0" text="" dxfId="1">
      <formula>B5="FAIL"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1" t="s">
        <v>303</v>
      </c>
    </row>
    <row r="4" customFormat="false" ht="39.75" hidden="false" customHeight="true" outlineLevel="0" collapsed="false">
      <c r="A4" s="37" t="s">
        <v>304</v>
      </c>
      <c r="B4" s="36" t="s">
        <v>305</v>
      </c>
    </row>
    <row r="5" customFormat="false" ht="39.75" hidden="false" customHeight="true" outlineLevel="0" collapsed="false">
      <c r="A5" s="37" t="s">
        <v>47</v>
      </c>
      <c r="B5" s="36" t="s">
        <v>306</v>
      </c>
    </row>
    <row r="6" customFormat="false" ht="39.75" hidden="false" customHeight="true" outlineLevel="0" collapsed="false">
      <c r="A6" s="37" t="s">
        <v>307</v>
      </c>
      <c r="B6" s="36" t="s">
        <v>308</v>
      </c>
    </row>
    <row r="7" customFormat="false" ht="39.75" hidden="false" customHeight="true" outlineLevel="0" collapsed="false">
      <c r="A7" s="37" t="s">
        <v>48</v>
      </c>
      <c r="B7" s="36" t="s">
        <v>309</v>
      </c>
    </row>
    <row r="8" customFormat="false" ht="39.75" hidden="false" customHeight="true" outlineLevel="0" collapsed="false">
      <c r="A8" s="37" t="s">
        <v>310</v>
      </c>
      <c r="B8" s="36" t="s">
        <v>311</v>
      </c>
    </row>
    <row r="9" customFormat="false" ht="39.75" hidden="false" customHeight="true" outlineLevel="0" collapsed="false">
      <c r="A9" s="37" t="s">
        <v>312</v>
      </c>
      <c r="B9" s="36" t="s">
        <v>313</v>
      </c>
    </row>
    <row r="10" customFormat="false" ht="39.75" hidden="false" customHeight="true" outlineLevel="0" collapsed="false">
      <c r="A10" s="37" t="s">
        <v>314</v>
      </c>
      <c r="B10" s="36" t="s">
        <v>315</v>
      </c>
    </row>
    <row r="11" customFormat="false" ht="39.75" hidden="false" customHeight="true" outlineLevel="0" collapsed="false">
      <c r="A11" s="37" t="s">
        <v>316</v>
      </c>
      <c r="B11" s="36" t="s">
        <v>317</v>
      </c>
    </row>
    <row r="12" customFormat="false" ht="39.75" hidden="false" customHeight="true" outlineLevel="0" collapsed="false">
      <c r="A12" s="37" t="s">
        <v>318</v>
      </c>
      <c r="B12" s="36" t="s">
        <v>319</v>
      </c>
    </row>
    <row r="13" customFormat="false" ht="39.75" hidden="false" customHeight="true" outlineLevel="0" collapsed="false">
      <c r="A13" s="37" t="s">
        <v>320</v>
      </c>
      <c r="B13" s="36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2026-10-29T07:27:02Z</dcterms:created>
  <dc:creator>openpyxl</dc:creator>
  <dc:description/>
  <dc:language>en-US</dc:language>
  <cp:lastModifiedBy/>
  <dcterms:modified xsi:type="dcterms:W3CDTF">2026-10-29T07:27:03Z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